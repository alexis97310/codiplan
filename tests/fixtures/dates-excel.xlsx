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bhfr-my.sharepoint.com/personal/alexis_plouvier_gbh_fr/Documents/Bureau/garages/"/>
    </mc:Choice>
  </mc:AlternateContent>
  <xr:revisionPtr revIDLastSave="0" documentId="11_435447B519085F85B45468B0A00A8D6848593F69" xr6:coauthVersionLast="47" xr6:coauthVersionMax="47" xr10:uidLastSave="{00000000-0000-0000-0000-000000000000}"/>
  <bookViews>
    <workbookView xWindow="2445" yWindow="1380" windowWidth="21600" windowHeight="11235" tabRatio="500" xr2:uid="{00000000-000D-0000-FFFF-FFFF00000000}"/>
  </bookViews>
  <sheets>
    <sheet name="Accueil" sheetId="1" r:id="rId1"/>
    <sheet name="1-Demandes SAV" sheetId="2" r:id="rId2"/>
    <sheet name="2-Ma tournée" sheetId="3" r:id="rId3"/>
    <sheet name="3-Parc machines" sheetId="4" r:id="rId4"/>
    <sheet name="4-VGP" sheetId="5" r:id="rId5"/>
    <sheet name="5-Observations VGP" sheetId="6" r:id="rId6"/>
    <sheet name="6-Historique" sheetId="7" r:id="rId7"/>
    <sheet name="7-Clients" sheetId="8" r:id="rId8"/>
    <sheet name="8-Param" sheetId="9" r:id="rId9"/>
  </sheets>
  <definedNames>
    <definedName name="_xlnm._FilterDatabase" localSheetId="1" hidden="1">'1-Demandes SAV'!$A$1:$Z$601</definedName>
    <definedName name="_xlnm._FilterDatabase" localSheetId="3" hidden="1">'3-Parc machines'!$A$1:$Y$600</definedName>
    <definedName name="_xlnm._FilterDatabase" localSheetId="4" hidden="1">'4-VGP'!$A$1:$O$334</definedName>
    <definedName name="_xlnm._FilterDatabase" localSheetId="5" hidden="1">'5-Observations VGP'!$A$1:$N$671</definedName>
    <definedName name="_xlnm._FilterDatabase" localSheetId="6" hidden="1">'6-Historique'!$A$1:$M$1997</definedName>
    <definedName name="_xlnm.Print_Titles" localSheetId="1">'1-Demandes SAV'!$1:$1</definedName>
    <definedName name="_xlnm.Print_Titles" localSheetId="2">'2-Ma tournée'!$4:$4</definedName>
    <definedName name="_xlnm.Print_Titles" localSheetId="3">'3-Parc machines'!$1:$1</definedName>
    <definedName name="_xlnm.Print_Titles" localSheetId="4">'4-VGP'!$1:$1</definedName>
    <definedName name="_xlnm.Print_Titles" localSheetId="5">'5-Observations VGP'!$1:$1</definedName>
    <definedName name="_xlnm.Print_Titles" localSheetId="6">'6-Historique'!$1:$1</definedName>
    <definedName name="_xlnm.Print_Titles" localSheetId="7">'7-Clients'!$1:$1</definedName>
    <definedName name="_xlnm.Print_Titles" localSheetId="8">'8-Param'!$1:$1</definedName>
    <definedName name="_xlnm.Print_Area" localSheetId="0">Accueil!$A$1:$F$36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3"/>
      <color rgb="FF1F4E79"/>
      <name val="Arial"/>
      <charset val="1"/>
    </font>
    <font>
      <b/>
      <sz val="10"/>
      <color rgb="FF1F4E79"/>
      <name val="Arial"/>
      <charset val="1"/>
    </font>
    <font>
      <b/>
      <sz val="13"/>
      <color rgb="FFC00000"/>
      <name val="Arial"/>
      <charset val="1"/>
    </font>
    <font>
      <sz val="9"/>
      <color rgb="FF595959"/>
      <name val="Arial"/>
      <charset val="1"/>
    </font>
    <font>
      <b/>
      <sz val="8"/>
      <color rgb="FF1F4E79"/>
      <name val="Arial"/>
      <charset val="1"/>
    </font>
    <font>
      <b/>
      <sz val="8"/>
      <color rgb="FF767171"/>
      <name val="Arial"/>
      <charset val="1"/>
    </font>
    <font>
      <b/>
      <sz val="8"/>
      <color rgb="FF9C9C9C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10"/>
      <color rgb="FF008000"/>
      <name val="Arial"/>
      <charset val="1"/>
    </font>
    <font>
      <sz val="10"/>
      <color rgb="FF375623"/>
      <name val="Arial"/>
      <charset val="1"/>
    </font>
    <font>
      <b/>
      <sz val="12"/>
      <color rgb="FFFFFFFF"/>
      <name val="Arial"/>
      <charset val="1"/>
    </font>
    <font>
      <b/>
      <sz val="12"/>
      <color rgb="FF0000FF"/>
      <name val="Arial"/>
      <charset val="1"/>
    </font>
    <font>
      <i/>
      <sz val="9"/>
      <color rgb="FF595959"/>
      <name val="Arial"/>
      <charset val="1"/>
    </font>
    <font>
      <i/>
      <sz val="10"/>
      <color rgb="FF375623"/>
      <name val="Arial"/>
      <charset val="1"/>
    </font>
    <font>
      <sz val="10"/>
      <color rgb="FF595959"/>
      <name val="Arial"/>
      <charset val="1"/>
    </font>
    <font>
      <b/>
      <sz val="11"/>
      <color rgb="FF0000FF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AFAFA"/>
      </patternFill>
    </fill>
    <fill>
      <patternFill patternType="solid">
        <fgColor rgb="FFF2F2F2"/>
        <bgColor rgb="FFF1F1F1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6E4F0"/>
      </patternFill>
    </fill>
    <fill>
      <patternFill patternType="solid">
        <fgColor rgb="FFFAFAFA"/>
        <bgColor rgb="FFFFFFFF"/>
      </patternFill>
    </fill>
    <fill>
      <patternFill patternType="solid">
        <fgColor rgb="FF767171"/>
        <bgColor rgb="FF808080"/>
      </patternFill>
    </fill>
    <fill>
      <patternFill patternType="solid">
        <fgColor rgb="FF375623"/>
        <bgColor rgb="FF595959"/>
      </patternFill>
    </fill>
    <fill>
      <patternFill patternType="solid">
        <fgColor rgb="FFFFF9E0"/>
        <bgColor rgb="FFFFF2CC"/>
      </patternFill>
    </fill>
    <fill>
      <patternFill patternType="solid">
        <fgColor rgb="FFEAF3FB"/>
        <bgColor rgb="FFF1F1F1"/>
      </patternFill>
    </fill>
    <fill>
      <patternFill patternType="solid">
        <fgColor rgb="FFE9E9E9"/>
        <bgColor rgb="FFE3EFE3"/>
      </patternFill>
    </fill>
    <fill>
      <patternFill patternType="solid">
        <fgColor rgb="FFF1F7F1"/>
        <bgColor rgb="FFF2F2F2"/>
      </patternFill>
    </fill>
    <fill>
      <patternFill patternType="solid">
        <fgColor rgb="FFE3EFE3"/>
        <bgColor rgb="FFEAF3EA"/>
      </patternFill>
    </fill>
    <fill>
      <patternFill patternType="solid">
        <fgColor rgb="FFFFF2CC"/>
        <bgColor rgb="FFFFF9E0"/>
      </patternFill>
    </fill>
    <fill>
      <patternFill patternType="solid">
        <fgColor rgb="FFEAF3EA"/>
        <bgColor rgb="FFF1F1F1"/>
      </patternFill>
    </fill>
    <fill>
      <patternFill patternType="solid">
        <fgColor rgb="FF9C9C9C"/>
        <bgColor rgb="FFA6A6A6"/>
      </patternFill>
    </fill>
    <fill>
      <patternFill patternType="solid">
        <fgColor rgb="FFF1F1F1"/>
        <bgColor rgb="FFF2F2F2"/>
      </patternFill>
    </fill>
  </fills>
  <borders count="8">
    <border>
      <left/>
      <right/>
      <top/>
      <bottom/>
      <diagonal/>
    </border>
    <border>
      <left/>
      <right/>
      <top/>
      <bottom style="thin">
        <color rgb="FFD6E4F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BF8F00"/>
      </top>
      <bottom style="medium">
        <color rgb="FFBF8F00"/>
      </bottom>
      <diagonal/>
    </border>
    <border>
      <left style="medium">
        <color rgb="FF9DC3E6"/>
      </left>
      <right/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9DC3E6"/>
      </left>
      <right/>
      <top/>
      <bottom style="thin">
        <color rgb="FFD9D9D9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8" fillId="0" borderId="0" xfId="0" applyFont="1" applyAlignment="1">
      <alignment vertical="center" indent="1"/>
    </xf>
    <xf numFmtId="0" fontId="16" fillId="11" borderId="0" xfId="0" applyFont="1" applyFill="1" applyAlignment="1">
      <alignment vertical="center" indent="1"/>
    </xf>
    <xf numFmtId="0" fontId="8" fillId="0" borderId="0" xfId="0" applyFont="1" applyAlignment="1">
      <alignment vertical="center" wrapText="1" indent="2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 indent="1"/>
    </xf>
    <xf numFmtId="0" fontId="1" fillId="2" borderId="0" xfId="0" applyFont="1" applyFill="1" applyAlignment="1">
      <alignment vertical="center" indent="1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4" fillId="0" borderId="1" xfId="0" applyFont="1" applyBorder="1" applyAlignment="1">
      <alignment vertical="center" indent="2"/>
    </xf>
    <xf numFmtId="1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" fontId="7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11" fillId="9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3" fillId="12" borderId="3" xfId="0" applyFont="1" applyFill="1" applyBorder="1" applyAlignment="1" applyProtection="1">
      <alignment horizontal="center" vertical="center"/>
      <protection locked="0"/>
    </xf>
    <xf numFmtId="14" fontId="13" fillId="12" borderId="3" xfId="0" applyNumberFormat="1" applyFont="1" applyFill="1" applyBorder="1" applyAlignment="1" applyProtection="1">
      <alignment vertical="center" indent="1"/>
      <protection locked="0"/>
    </xf>
    <xf numFmtId="0" fontId="13" fillId="12" borderId="3" xfId="0" applyFont="1" applyFill="1" applyBorder="1" applyAlignment="1" applyProtection="1">
      <alignment vertical="center" indent="1"/>
      <protection locked="0"/>
    </xf>
    <xf numFmtId="0" fontId="14" fillId="5" borderId="3" xfId="0" applyFont="1" applyFill="1" applyBorder="1" applyAlignment="1">
      <alignment vertical="center" indent="1"/>
    </xf>
    <xf numFmtId="0" fontId="13" fillId="12" borderId="3" xfId="0" applyFont="1" applyFill="1" applyBorder="1" applyAlignment="1" applyProtection="1">
      <alignment vertical="center" wrapText="1" indent="1"/>
      <protection locked="0"/>
    </xf>
    <xf numFmtId="1" fontId="14" fillId="5" borderId="3" xfId="0" applyNumberFormat="1" applyFont="1" applyFill="1" applyBorder="1" applyAlignment="1">
      <alignment vertical="center" indent="1"/>
    </xf>
    <xf numFmtId="14" fontId="15" fillId="12" borderId="3" xfId="0" applyNumberFormat="1" applyFont="1" applyFill="1" applyBorder="1" applyAlignment="1" applyProtection="1">
      <alignment vertical="center" indent="1"/>
      <protection locked="0"/>
    </xf>
    <xf numFmtId="164" fontId="15" fillId="12" borderId="3" xfId="0" applyNumberFormat="1" applyFont="1" applyFill="1" applyBorder="1" applyAlignment="1" applyProtection="1">
      <alignment vertical="center" indent="1"/>
      <protection locked="0"/>
    </xf>
    <xf numFmtId="0" fontId="15" fillId="12" borderId="3" xfId="0" applyFont="1" applyFill="1" applyBorder="1" applyAlignment="1" applyProtection="1">
      <alignment vertical="center" wrapText="1" indent="1"/>
      <protection locked="0"/>
    </xf>
    <xf numFmtId="0" fontId="15" fillId="12" borderId="3" xfId="0" applyFont="1" applyFill="1" applyBorder="1" applyAlignment="1" applyProtection="1">
      <alignment vertical="center" indent="1"/>
      <protection locked="0"/>
    </xf>
    <xf numFmtId="3" fontId="15" fillId="12" borderId="3" xfId="0" applyNumberFormat="1" applyFont="1" applyFill="1" applyBorder="1" applyAlignment="1" applyProtection="1">
      <alignment vertical="center" indent="1"/>
      <protection locked="0"/>
    </xf>
    <xf numFmtId="1" fontId="14" fillId="5" borderId="4" xfId="0" applyNumberFormat="1" applyFont="1" applyFill="1" applyBorder="1" applyAlignment="1">
      <alignment vertical="center" indent="1"/>
    </xf>
    <xf numFmtId="1" fontId="14" fillId="5" borderId="5" xfId="0" applyNumberFormat="1" applyFont="1" applyFill="1" applyBorder="1" applyAlignment="1">
      <alignment vertical="center" indent="1"/>
    </xf>
    <xf numFmtId="0" fontId="13" fillId="13" borderId="5" xfId="0" applyFont="1" applyFill="1" applyBorder="1" applyAlignment="1" applyProtection="1">
      <alignment horizontal="center" vertical="center"/>
      <protection locked="0"/>
    </xf>
    <xf numFmtId="14" fontId="13" fillId="13" borderId="5" xfId="0" applyNumberFormat="1" applyFont="1" applyFill="1" applyBorder="1" applyAlignment="1" applyProtection="1">
      <alignment vertical="center" indent="1"/>
      <protection locked="0"/>
    </xf>
    <xf numFmtId="0" fontId="13" fillId="13" borderId="5" xfId="0" applyFont="1" applyFill="1" applyBorder="1" applyAlignment="1" applyProtection="1">
      <alignment vertical="center" indent="1"/>
      <protection locked="0"/>
    </xf>
    <xf numFmtId="0" fontId="14" fillId="14" borderId="4" xfId="0" applyFont="1" applyFill="1" applyBorder="1" applyAlignment="1">
      <alignment vertical="center" indent="1"/>
    </xf>
    <xf numFmtId="0" fontId="14" fillId="14" borderId="5" xfId="0" applyFont="1" applyFill="1" applyBorder="1" applyAlignment="1">
      <alignment vertical="center" indent="1"/>
    </xf>
    <xf numFmtId="0" fontId="13" fillId="13" borderId="4" xfId="0" applyFont="1" applyFill="1" applyBorder="1" applyAlignment="1" applyProtection="1">
      <alignment vertical="center" wrapText="1" indent="1"/>
      <protection locked="0"/>
    </xf>
    <xf numFmtId="1" fontId="14" fillId="14" borderId="5" xfId="0" applyNumberFormat="1" applyFont="1" applyFill="1" applyBorder="1" applyAlignment="1">
      <alignment vertical="center" indent="1"/>
    </xf>
    <xf numFmtId="14" fontId="15" fillId="15" borderId="4" xfId="0" applyNumberFormat="1" applyFont="1" applyFill="1" applyBorder="1" applyAlignment="1" applyProtection="1">
      <alignment vertical="center" indent="1"/>
      <protection locked="0"/>
    </xf>
    <xf numFmtId="164" fontId="15" fillId="15" borderId="5" xfId="0" applyNumberFormat="1" applyFont="1" applyFill="1" applyBorder="1" applyAlignment="1" applyProtection="1">
      <alignment vertical="center" indent="1"/>
      <protection locked="0"/>
    </xf>
    <xf numFmtId="0" fontId="15" fillId="15" borderId="5" xfId="0" applyFont="1" applyFill="1" applyBorder="1" applyAlignment="1" applyProtection="1">
      <alignment vertical="center" wrapText="1" indent="1"/>
      <protection locked="0"/>
    </xf>
    <xf numFmtId="0" fontId="15" fillId="15" borderId="5" xfId="0" applyFont="1" applyFill="1" applyBorder="1" applyAlignment="1" applyProtection="1">
      <alignment vertical="center" indent="1"/>
      <protection locked="0"/>
    </xf>
    <xf numFmtId="3" fontId="15" fillId="15" borderId="5" xfId="0" applyNumberFormat="1" applyFont="1" applyFill="1" applyBorder="1" applyAlignment="1" applyProtection="1">
      <alignment vertical="center" indent="1"/>
      <protection locked="0"/>
    </xf>
    <xf numFmtId="1" fontId="14" fillId="14" borderId="4" xfId="0" applyNumberFormat="1" applyFont="1" applyFill="1" applyBorder="1" applyAlignment="1">
      <alignment vertical="center" indent="1"/>
    </xf>
    <xf numFmtId="0" fontId="13" fillId="4" borderId="5" xfId="0" applyFont="1" applyFill="1" applyBorder="1" applyAlignment="1" applyProtection="1">
      <alignment horizontal="center" vertical="center"/>
      <protection locked="0"/>
    </xf>
    <xf numFmtId="14" fontId="13" fillId="4" borderId="5" xfId="0" applyNumberFormat="1" applyFont="1" applyFill="1" applyBorder="1" applyAlignment="1" applyProtection="1">
      <alignment vertical="center" indent="1"/>
      <protection locked="0"/>
    </xf>
    <xf numFmtId="0" fontId="13" fillId="4" borderId="5" xfId="0" applyFont="1" applyFill="1" applyBorder="1" applyAlignment="1" applyProtection="1">
      <alignment vertical="center" indent="1"/>
      <protection locked="0"/>
    </xf>
    <xf numFmtId="0" fontId="14" fillId="5" borderId="4" xfId="0" applyFont="1" applyFill="1" applyBorder="1" applyAlignment="1">
      <alignment vertical="center" indent="1"/>
    </xf>
    <xf numFmtId="0" fontId="14" fillId="5" borderId="5" xfId="0" applyFont="1" applyFill="1" applyBorder="1" applyAlignment="1">
      <alignment vertical="center" indent="1"/>
    </xf>
    <xf numFmtId="0" fontId="13" fillId="4" borderId="4" xfId="0" applyFont="1" applyFill="1" applyBorder="1" applyAlignment="1" applyProtection="1">
      <alignment vertical="center" wrapText="1" indent="1"/>
      <protection locked="0"/>
    </xf>
    <xf numFmtId="14" fontId="15" fillId="16" borderId="4" xfId="0" applyNumberFormat="1" applyFont="1" applyFill="1" applyBorder="1" applyAlignment="1" applyProtection="1">
      <alignment vertical="center" indent="1"/>
      <protection locked="0"/>
    </xf>
    <xf numFmtId="164" fontId="15" fillId="16" borderId="5" xfId="0" applyNumberFormat="1" applyFont="1" applyFill="1" applyBorder="1" applyAlignment="1" applyProtection="1">
      <alignment vertical="center" indent="1"/>
      <protection locked="0"/>
    </xf>
    <xf numFmtId="0" fontId="15" fillId="16" borderId="5" xfId="0" applyFont="1" applyFill="1" applyBorder="1" applyAlignment="1" applyProtection="1">
      <alignment vertical="center" wrapText="1" indent="1"/>
      <protection locked="0"/>
    </xf>
    <xf numFmtId="0" fontId="15" fillId="16" borderId="5" xfId="0" applyFont="1" applyFill="1" applyBorder="1" applyAlignment="1" applyProtection="1">
      <alignment vertical="center" indent="1"/>
      <protection locked="0"/>
    </xf>
    <xf numFmtId="3" fontId="15" fillId="16" borderId="5" xfId="0" applyNumberFormat="1" applyFont="1" applyFill="1" applyBorder="1" applyAlignment="1" applyProtection="1">
      <alignment vertical="center" indent="1"/>
      <protection locked="0"/>
    </xf>
    <xf numFmtId="0" fontId="17" fillId="17" borderId="0" xfId="0" applyFont="1" applyFill="1" applyAlignment="1" applyProtection="1">
      <alignment horizontal="center" vertical="center"/>
      <protection locked="0"/>
    </xf>
    <xf numFmtId="0" fontId="19" fillId="4" borderId="6" xfId="0" applyFont="1" applyFill="1" applyBorder="1" applyAlignment="1">
      <alignment vertical="center" indent="1"/>
    </xf>
    <xf numFmtId="0" fontId="19" fillId="4" borderId="6" xfId="0" applyFont="1" applyFill="1" applyBorder="1" applyAlignment="1">
      <alignment vertical="center" wrapText="1" indent="1"/>
    </xf>
    <xf numFmtId="14" fontId="19" fillId="4" borderId="6" xfId="0" applyNumberFormat="1" applyFont="1" applyFill="1" applyBorder="1" applyAlignment="1">
      <alignment vertical="center" indent="1"/>
    </xf>
    <xf numFmtId="1" fontId="19" fillId="4" borderId="6" xfId="0" applyNumberFormat="1" applyFont="1" applyFill="1" applyBorder="1" applyAlignment="1">
      <alignment vertical="center" indent="1"/>
    </xf>
    <xf numFmtId="0" fontId="19" fillId="18" borderId="6" xfId="0" applyFont="1" applyFill="1" applyBorder="1" applyAlignment="1">
      <alignment vertical="center" indent="1"/>
    </xf>
    <xf numFmtId="0" fontId="19" fillId="18" borderId="6" xfId="0" applyFont="1" applyFill="1" applyBorder="1" applyAlignment="1">
      <alignment vertical="center" wrapText="1" indent="1"/>
    </xf>
    <xf numFmtId="14" fontId="19" fillId="18" borderId="6" xfId="0" applyNumberFormat="1" applyFont="1" applyFill="1" applyBorder="1" applyAlignment="1">
      <alignment vertical="center" indent="1"/>
    </xf>
    <xf numFmtId="1" fontId="19" fillId="18" borderId="6" xfId="0" applyNumberFormat="1" applyFont="1" applyFill="1" applyBorder="1" applyAlignment="1">
      <alignment vertical="center" indent="1"/>
    </xf>
    <xf numFmtId="0" fontId="14" fillId="5" borderId="5" xfId="0" applyFont="1" applyFill="1" applyBorder="1" applyAlignment="1">
      <alignment horizontal="center" vertical="center"/>
    </xf>
    <xf numFmtId="0" fontId="13" fillId="4" borderId="7" xfId="0" applyFont="1" applyFill="1" applyBorder="1" applyAlignment="1" applyProtection="1">
      <alignment vertical="center" indent="1"/>
      <protection locked="0"/>
    </xf>
    <xf numFmtId="1" fontId="14" fillId="5" borderId="7" xfId="0" applyNumberFormat="1" applyFont="1" applyFill="1" applyBorder="1" applyAlignment="1">
      <alignment vertical="center" indent="1"/>
    </xf>
    <xf numFmtId="14" fontId="14" fillId="5" borderId="5" xfId="0" applyNumberFormat="1" applyFont="1" applyFill="1" applyBorder="1" applyAlignment="1">
      <alignment vertical="center" indent="1"/>
    </xf>
    <xf numFmtId="3" fontId="14" fillId="5" borderId="5" xfId="0" applyNumberFormat="1" applyFont="1" applyFill="1" applyBorder="1" applyAlignment="1">
      <alignment vertical="center" indent="1"/>
    </xf>
    <xf numFmtId="0" fontId="14" fillId="5" borderId="5" xfId="0" applyFont="1" applyFill="1" applyBorder="1" applyAlignment="1">
      <alignment vertical="center" wrapText="1" indent="1"/>
    </xf>
    <xf numFmtId="0" fontId="13" fillId="4" borderId="7" xfId="0" applyFont="1" applyFill="1" applyBorder="1" applyAlignment="1" applyProtection="1">
      <alignment vertical="center" wrapText="1" indent="1"/>
      <protection locked="0"/>
    </xf>
    <xf numFmtId="0" fontId="14" fillId="14" borderId="5" xfId="0" applyFont="1" applyFill="1" applyBorder="1" applyAlignment="1">
      <alignment horizontal="center" vertical="center"/>
    </xf>
    <xf numFmtId="0" fontId="13" fillId="13" borderId="7" xfId="0" applyFont="1" applyFill="1" applyBorder="1" applyAlignment="1" applyProtection="1">
      <alignment vertical="center" indent="1"/>
      <protection locked="0"/>
    </xf>
    <xf numFmtId="1" fontId="14" fillId="14" borderId="7" xfId="0" applyNumberFormat="1" applyFont="1" applyFill="1" applyBorder="1" applyAlignment="1">
      <alignment vertical="center" indent="1"/>
    </xf>
    <xf numFmtId="14" fontId="14" fillId="14" borderId="5" xfId="0" applyNumberFormat="1" applyFont="1" applyFill="1" applyBorder="1" applyAlignment="1">
      <alignment vertical="center" indent="1"/>
    </xf>
    <xf numFmtId="3" fontId="14" fillId="14" borderId="5" xfId="0" applyNumberFormat="1" applyFont="1" applyFill="1" applyBorder="1" applyAlignment="1">
      <alignment vertical="center" indent="1"/>
    </xf>
    <xf numFmtId="0" fontId="14" fillId="14" borderId="5" xfId="0" applyFont="1" applyFill="1" applyBorder="1" applyAlignment="1">
      <alignment vertical="center" wrapText="1" indent="1"/>
    </xf>
    <xf numFmtId="0" fontId="13" fillId="13" borderId="7" xfId="0" applyFont="1" applyFill="1" applyBorder="1" applyAlignment="1" applyProtection="1">
      <alignment vertical="center" wrapText="1" indent="1"/>
      <protection locked="0"/>
    </xf>
    <xf numFmtId="0" fontId="14" fillId="5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 applyProtection="1">
      <alignment vertical="center" indent="1"/>
      <protection locked="0"/>
    </xf>
    <xf numFmtId="1" fontId="14" fillId="5" borderId="6" xfId="0" applyNumberFormat="1" applyFont="1" applyFill="1" applyBorder="1" applyAlignment="1">
      <alignment vertical="center" indent="1"/>
    </xf>
    <xf numFmtId="14" fontId="14" fillId="5" borderId="6" xfId="0" applyNumberFormat="1" applyFont="1" applyFill="1" applyBorder="1" applyAlignment="1">
      <alignment vertical="center" indent="1"/>
    </xf>
    <xf numFmtId="3" fontId="14" fillId="5" borderId="6" xfId="0" applyNumberFormat="1" applyFont="1" applyFill="1" applyBorder="1" applyAlignment="1">
      <alignment vertical="center" indent="1"/>
    </xf>
    <xf numFmtId="0" fontId="14" fillId="5" borderId="6" xfId="0" applyFont="1" applyFill="1" applyBorder="1" applyAlignment="1">
      <alignment vertical="center" wrapText="1" indent="1"/>
    </xf>
    <xf numFmtId="0" fontId="14" fillId="5" borderId="6" xfId="0" applyFont="1" applyFill="1" applyBorder="1" applyAlignment="1">
      <alignment vertical="center" indent="1"/>
    </xf>
    <xf numFmtId="0" fontId="13" fillId="4" borderId="6" xfId="0" applyFont="1" applyFill="1" applyBorder="1" applyAlignment="1" applyProtection="1">
      <alignment vertical="center" wrapText="1" indent="1"/>
      <protection locked="0"/>
    </xf>
    <xf numFmtId="0" fontId="14" fillId="14" borderId="6" xfId="0" applyFont="1" applyFill="1" applyBorder="1" applyAlignment="1">
      <alignment horizontal="center" vertical="center"/>
    </xf>
    <xf numFmtId="0" fontId="13" fillId="13" borderId="6" xfId="0" applyFont="1" applyFill="1" applyBorder="1" applyAlignment="1" applyProtection="1">
      <alignment vertical="center" indent="1"/>
      <protection locked="0"/>
    </xf>
    <xf numFmtId="1" fontId="14" fillId="14" borderId="6" xfId="0" applyNumberFormat="1" applyFont="1" applyFill="1" applyBorder="1" applyAlignment="1">
      <alignment vertical="center" indent="1"/>
    </xf>
    <xf numFmtId="14" fontId="14" fillId="14" borderId="6" xfId="0" applyNumberFormat="1" applyFont="1" applyFill="1" applyBorder="1" applyAlignment="1">
      <alignment vertical="center" indent="1"/>
    </xf>
    <xf numFmtId="3" fontId="14" fillId="14" borderId="6" xfId="0" applyNumberFormat="1" applyFont="1" applyFill="1" applyBorder="1" applyAlignment="1">
      <alignment vertical="center" indent="1"/>
    </xf>
    <xf numFmtId="0" fontId="14" fillId="14" borderId="6" xfId="0" applyFont="1" applyFill="1" applyBorder="1" applyAlignment="1">
      <alignment vertical="center" wrapText="1" indent="1"/>
    </xf>
    <xf numFmtId="0" fontId="14" fillId="14" borderId="6" xfId="0" applyFont="1" applyFill="1" applyBorder="1" applyAlignment="1">
      <alignment vertical="center" indent="1"/>
    </xf>
    <xf numFmtId="0" fontId="13" fillId="13" borderId="6" xfId="0" applyFont="1" applyFill="1" applyBorder="1" applyAlignment="1" applyProtection="1">
      <alignment vertical="center" wrapText="1" indent="1"/>
      <protection locked="0"/>
    </xf>
    <xf numFmtId="0" fontId="12" fillId="19" borderId="0" xfId="0" applyFont="1" applyFill="1" applyAlignment="1">
      <alignment horizontal="center" vertical="center" wrapText="1"/>
    </xf>
    <xf numFmtId="14" fontId="20" fillId="9" borderId="5" xfId="0" applyNumberFormat="1" applyFont="1" applyFill="1" applyBorder="1" applyAlignment="1">
      <alignment vertical="center" indent="1"/>
    </xf>
    <xf numFmtId="0" fontId="20" fillId="9" borderId="5" xfId="0" applyFont="1" applyFill="1" applyBorder="1" applyAlignment="1">
      <alignment vertical="center" indent="1"/>
    </xf>
    <xf numFmtId="0" fontId="20" fillId="9" borderId="5" xfId="0" applyFont="1" applyFill="1" applyBorder="1" applyAlignment="1">
      <alignment vertical="center" wrapText="1" indent="1"/>
    </xf>
    <xf numFmtId="14" fontId="20" fillId="20" borderId="5" xfId="0" applyNumberFormat="1" applyFont="1" applyFill="1" applyBorder="1" applyAlignment="1">
      <alignment vertical="center" indent="1"/>
    </xf>
    <xf numFmtId="0" fontId="20" fillId="20" borderId="5" xfId="0" applyFont="1" applyFill="1" applyBorder="1" applyAlignment="1">
      <alignment vertical="center" indent="1"/>
    </xf>
    <xf numFmtId="0" fontId="20" fillId="20" borderId="5" xfId="0" applyFont="1" applyFill="1" applyBorder="1" applyAlignment="1">
      <alignment vertical="center" wrapText="1" indent="1"/>
    </xf>
    <xf numFmtId="3" fontId="20" fillId="9" borderId="5" xfId="0" applyNumberFormat="1" applyFont="1" applyFill="1" applyBorder="1" applyAlignment="1">
      <alignment vertical="center" indent="1"/>
    </xf>
    <xf numFmtId="3" fontId="20" fillId="20" borderId="5" xfId="0" applyNumberFormat="1" applyFont="1" applyFill="1" applyBorder="1" applyAlignment="1">
      <alignment vertical="center" indent="1"/>
    </xf>
    <xf numFmtId="0" fontId="13" fillId="9" borderId="5" xfId="0" applyFont="1" applyFill="1" applyBorder="1" applyAlignment="1">
      <alignment vertical="center" indent="1"/>
    </xf>
    <xf numFmtId="0" fontId="13" fillId="20" borderId="5" xfId="0" applyFont="1" applyFill="1" applyBorder="1" applyAlignment="1">
      <alignment vertical="center" indent="1"/>
    </xf>
    <xf numFmtId="0" fontId="0" fillId="0" borderId="0" xfId="0" applyAlignment="1">
      <alignment vertical="center" indent="1"/>
    </xf>
    <xf numFmtId="0" fontId="12" fillId="2" borderId="0" xfId="0" applyFont="1" applyFill="1"/>
    <xf numFmtId="0" fontId="13" fillId="4" borderId="6" xfId="0" applyFont="1" applyFill="1" applyBorder="1"/>
    <xf numFmtId="0" fontId="20" fillId="9" borderId="0" xfId="0" applyFont="1" applyFill="1"/>
    <xf numFmtId="0" fontId="21" fillId="17" borderId="0" xfId="0" applyFont="1" applyFill="1" applyAlignment="1">
      <alignment horizontal="center"/>
    </xf>
    <xf numFmtId="0" fontId="13" fillId="13" borderId="6" xfId="0" applyFont="1" applyFill="1" applyBorder="1"/>
    <xf numFmtId="0" fontId="20" fillId="20" borderId="0" xfId="0" applyFont="1" applyFill="1"/>
    <xf numFmtId="0" fontId="13" fillId="0" borderId="0" xfId="0" applyFont="1"/>
  </cellXfs>
  <cellStyles count="1">
    <cellStyle name="Normal" xfId="0" builtinId="0"/>
  </cellStyles>
  <dxfs count="14">
    <dxf>
      <font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i/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A6A6A6"/>
      <rgbColor rgb="FF595959"/>
      <rgbColor rgb="FFFFF9E0"/>
      <rgbColor rgb="FFEAF3FB"/>
      <rgbColor rgb="FF660066"/>
      <rgbColor rgb="FFF2F2F2"/>
      <rgbColor rgb="FF0066CC"/>
      <rgbColor rgb="FFD9D9D9"/>
      <rgbColor rgb="FF000080"/>
      <rgbColor rgb="FFFF00FF"/>
      <rgbColor rgb="FFEAF3EA"/>
      <rgbColor rgb="FF00FFFF"/>
      <rgbColor rgb="FF800080"/>
      <rgbColor rgb="FF800000"/>
      <rgbColor rgb="FF008080"/>
      <rgbColor rgb="FF0000FF"/>
      <rgbColor rgb="FF00CCFF"/>
      <rgbColor rgb="FFE3EFE3"/>
      <rgbColor rgb="FFC6EFCE"/>
      <rgbColor rgb="FFFFEB9C"/>
      <rgbColor rgb="FF9DC3E6"/>
      <rgbColor rgb="FFE9E9E9"/>
      <rgbColor rgb="FFD6E4F0"/>
      <rgbColor rgb="FFFFC7CE"/>
      <rgbColor rgb="FF2E75B6"/>
      <rgbColor rgb="FFFAFAFA"/>
      <rgbColor rgb="FFF1F7F1"/>
      <rgbColor rgb="FFF1F1F1"/>
      <rgbColor rgb="FFBF8F00"/>
      <rgbColor rgb="FFFF6600"/>
      <rgbColor rgb="FF767171"/>
      <rgbColor rgb="FF9C9C9C"/>
      <rgbColor rgb="FF003366"/>
      <rgbColor rgb="FF339966"/>
      <rgbColor rgb="FF0061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uivi_SAV_CODIMA_v2.xlsx" TargetMode="External"/><Relationship Id="rId2" Type="http://schemas.openxmlformats.org/officeDocument/2006/relationships/hyperlink" Target="Suivi_SAV_CODIMA_v2.xlsx" TargetMode="External"/><Relationship Id="rId1" Type="http://schemas.openxmlformats.org/officeDocument/2006/relationships/hyperlink" Target="Suivi_SAV_CODIMA_v2.xlsx" TargetMode="External"/><Relationship Id="rId5" Type="http://schemas.openxmlformats.org/officeDocument/2006/relationships/hyperlink" Target="Suivi_SAV_CODIMA_v2.xlsx" TargetMode="External"/><Relationship Id="rId4" Type="http://schemas.openxmlformats.org/officeDocument/2006/relationships/hyperlink" Target="Suivi_SAV_CODIMA_v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B2:F35"/>
  <sheetViews>
    <sheetView showGridLines="0" tabSelected="1"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2" customWidth="1"/>
    <col min="2" max="2" width="56" customWidth="1"/>
    <col min="3" max="3" width="15" customWidth="1"/>
    <col min="4" max="4" width="3" customWidth="1"/>
    <col min="5" max="5" width="62" customWidth="1"/>
    <col min="6" max="6" width="14" customWidth="1"/>
    <col min="7" max="7" width="2" customWidth="1"/>
  </cols>
  <sheetData>
    <row r="2" spans="2:6" ht="42" customHeight="1" x14ac:dyDescent="0.25"/>
    <row r="3" spans="2:6" ht="21.75" customHeight="1" x14ac:dyDescent="0.25"/>
    <row r="4" spans="2:6" ht="25.5" customHeight="1" x14ac:dyDescent="0.25"/>
    <row r="5" spans="2:6" ht="22.5" customHeight="1" x14ac:dyDescent="0.25"/>
    <row r="6" spans="2:6" ht="19.5" customHeight="1" x14ac:dyDescent="0.25"/>
    <row r="7" spans="2:6" ht="19.5" customHeight="1" x14ac:dyDescent="0.25"/>
    <row r="8" spans="2:6" ht="19.5" customHeight="1" x14ac:dyDescent="0.25"/>
    <row r="9" spans="2:6" ht="19.5" customHeight="1" x14ac:dyDescent="0.25"/>
    <row r="10" spans="2:6" ht="19.5" customHeight="1" x14ac:dyDescent="0.25"/>
    <row r="11" spans="2:6" ht="19.5" customHeight="1" x14ac:dyDescent="0.25"/>
    <row r="12" spans="2:6" ht="19.5" customHeight="1" x14ac:dyDescent="0.25"/>
    <row r="13" spans="2:6" ht="19.5" customHeight="1" x14ac:dyDescent="0.25"/>
    <row r="14" spans="2:6" ht="15" customHeight="1" x14ac:dyDescent="0.25"/>
    <row r="15" spans="2:6" ht="22.5" customHeight="1" x14ac:dyDescent="0.25"/>
    <row r="16" spans="2:6" ht="19.5" customHeight="1" x14ac:dyDescent="0.25"/>
    <row r="17" spans="2:6" ht="19.5" customHeight="1" x14ac:dyDescent="0.25"/>
    <row r="18" spans="2:6" ht="19.5" customHeight="1" x14ac:dyDescent="0.25"/>
    <row r="19" spans="2:6" ht="19.5" customHeight="1" x14ac:dyDescent="0.25"/>
    <row r="20" spans="2:6" ht="15" customHeight="1" x14ac:dyDescent="0.25"/>
    <row r="21" spans="2:6" ht="22.5" customHeight="1" x14ac:dyDescent="0.25"/>
    <row r="22" spans="2:6" ht="19.5" customHeight="1" x14ac:dyDescent="0.25"/>
    <row r="23" spans="2:6" ht="19.5" customHeight="1" x14ac:dyDescent="0.25"/>
    <row r="24" spans="2:6" ht="19.5" customHeight="1" x14ac:dyDescent="0.25"/>
    <row r="25" spans="2:6" ht="19.5" customHeight="1" x14ac:dyDescent="0.25"/>
    <row r="26" spans="2:6" ht="19.5" customHeight="1" x14ac:dyDescent="0.25"/>
    <row r="27" spans="2:6" ht="19.5" customHeight="1" x14ac:dyDescent="0.25"/>
    <row r="28" spans="2:6" ht="15" customHeight="1" x14ac:dyDescent="0.25"/>
    <row r="29" spans="2:6" ht="22.5" customHeight="1" x14ac:dyDescent="0.25"/>
    <row r="30" spans="2:6" ht="30" customHeight="1" x14ac:dyDescent="0.25"/>
    <row r="31" spans="2:6" ht="30" customHeight="1" x14ac:dyDescent="0.25"/>
    <row r="32" spans="2:6" ht="30" customHeight="1" x14ac:dyDescent="0.25"/>
    <row r="33" spans="2:6" ht="30" customHeight="1" x14ac:dyDescent="0.25"/>
    <row r="34" spans="2:6" ht="30" customHeight="1" x14ac:dyDescent="0.25"/>
    <row r="35" spans="2:6" ht="30" customHeight="1" x14ac:dyDescent="0.25"/>
  </sheetData>
  <mergeCells count="10">
    <mergeCell ref="B31:C31"/>
    <mergeCell ref="B32:C32"/>
    <mergeCell ref="B33:C33"/>
    <mergeCell ref="B34:C34"/>
    <mergeCell ref="B35:C35"/>
    <mergeCell ref="B2:F2"/>
    <mergeCell ref="B3:F3"/>
    <mergeCell ref="B4:C4"/>
    <mergeCell ref="E4:F4"/>
    <mergeCell ref="B30:C30"/>
  </mergeCells>
  <conditionalFormatting sqref="C7:C8">
    <cfRule type="cellIs" dxfId="13" priority="2" operator="lessThanOrEqual">
      <formula>0</formula>
    </cfRule>
  </conditionalFormatting>
  <conditionalFormatting sqref="C16:C17">
    <cfRule type="cellIs" dxfId="12" priority="4" operator="lessThanOrEqual">
      <formula>0</formula>
    </cfRule>
  </conditionalFormatting>
  <conditionalFormatting sqref="C19">
    <cfRule type="cellIs" dxfId="11" priority="6" operator="lessThanOrEqual">
      <formula>0</formula>
    </cfRule>
  </conditionalFormatting>
  <conditionalFormatting sqref="C23">
    <cfRule type="cellIs" dxfId="10" priority="7" operator="lessThanOrEqual">
      <formula>0</formula>
    </cfRule>
  </conditionalFormatting>
  <hyperlinks>
    <hyperlink ref="B4" r:id="rId1" location="'1-Demandes%20ADV'!A2" xr:uid="{00000000-0004-0000-0000-000000000000}"/>
    <hyperlink ref="E4" r:id="rId2" location="'2-Interventions%20Tech'!A2" xr:uid="{00000000-0004-0000-0000-000001000000}"/>
    <hyperlink ref="B5" r:id="rId3" location="'1-Demandes%20ADV'!A2" xr:uid="{00000000-0004-0000-0000-000002000000}"/>
    <hyperlink ref="B15" r:id="rId4" location="'4-VGP'!A2" xr:uid="{00000000-0004-0000-0000-000003000000}"/>
    <hyperlink ref="B21" r:id="rId5" location="'3-Parc%20machines'!A2" xr:uid="{00000000-0004-0000-0000-000004000000}"/>
  </hyperlink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601"/>
  <sheetViews>
    <sheetView zoomScale="90" zoomScaleNormal="9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baseColWidth="10" defaultColWidth="8.7109375" defaultRowHeight="15" x14ac:dyDescent="0.25"/>
  <cols>
    <col min="1" max="1" width="11" customWidth="1"/>
    <col min="2" max="2" width="13" customWidth="1"/>
    <col min="3" max="3" width="17" customWidth="1"/>
    <col min="4" max="4" width="12" customWidth="1"/>
    <col min="5" max="5" width="19" customWidth="1"/>
    <col min="6" max="6" width="14" customWidth="1"/>
    <col min="7" max="7" width="21" customWidth="1"/>
    <col min="8" max="8" width="15" customWidth="1"/>
    <col min="9" max="9" width="48" customWidth="1"/>
    <col min="10" max="10" width="20" customWidth="1"/>
    <col min="11" max="11" width="15" customWidth="1"/>
    <col min="12" max="12" width="13" customWidth="1"/>
    <col min="13" max="13" width="19" customWidth="1"/>
    <col min="14" max="14" width="24" customWidth="1"/>
    <col min="15" max="16" width="13" customWidth="1"/>
    <col min="17" max="17" width="11" customWidth="1"/>
    <col min="18" max="18" width="40" customWidth="1"/>
    <col min="19" max="19" width="46" customWidth="1"/>
    <col min="20" max="20" width="32" customWidth="1"/>
    <col min="21" max="21" width="11" customWidth="1"/>
    <col min="22" max="22" width="22" customWidth="1"/>
    <col min="23" max="23" width="19" customWidth="1"/>
    <col min="24" max="24" width="14" customWidth="1"/>
    <col min="25" max="25" width="15" customWidth="1"/>
    <col min="26" max="26" width="60" customWidth="1"/>
    <col min="27" max="28" width="9" hidden="1" customWidth="1"/>
  </cols>
  <sheetData>
    <row r="1" spans="1:28" ht="33.75" customHeight="1" x14ac:dyDescent="0.25"/>
    <row r="2" spans="1:28" ht="31.5" customHeight="1" x14ac:dyDescent="0.25"/>
    <row r="3" spans="1:28" ht="31.5" customHeight="1" x14ac:dyDescent="0.25">
      <c r="B3" s="39">
        <v>46254</v>
      </c>
    </row>
    <row r="4" spans="1:28" ht="31.5" customHeight="1" x14ac:dyDescent="0.25">
      <c r="B4" s="52">
        <v>46253</v>
      </c>
    </row>
    <row r="5" spans="1:28" ht="31.5" customHeight="1" x14ac:dyDescent="0.25">
      <c r="B5" s="39">
        <v>46248</v>
      </c>
      <c r="L5" s="39">
        <v>46252</v>
      </c>
    </row>
    <row r="6" spans="1:28" ht="31.5" customHeight="1" x14ac:dyDescent="0.25">
      <c r="B6" s="52">
        <v>46248</v>
      </c>
      <c r="L6" s="52">
        <v>46252</v>
      </c>
    </row>
    <row r="7" spans="1:28" ht="31.5" customHeight="1" x14ac:dyDescent="0.25">
      <c r="B7" s="39">
        <v>46246</v>
      </c>
    </row>
    <row r="8" spans="1:28" ht="31.5" customHeight="1" x14ac:dyDescent="0.25">
      <c r="B8" s="52">
        <v>46246</v>
      </c>
    </row>
    <row r="9" spans="1:28" ht="31.5" customHeight="1" x14ac:dyDescent="0.25">
      <c r="B9" s="39">
        <v>46246</v>
      </c>
    </row>
    <row r="10" spans="1:28" ht="31.5" customHeight="1" x14ac:dyDescent="0.25">
      <c r="B10" s="52">
        <v>46227</v>
      </c>
    </row>
    <row r="11" spans="1:28" ht="31.5" customHeight="1" x14ac:dyDescent="0.25">
      <c r="B11" s="39">
        <v>46211</v>
      </c>
    </row>
    <row r="12" spans="1:28" ht="31.5" customHeight="1" x14ac:dyDescent="0.25">
      <c r="B12" s="52">
        <v>46210</v>
      </c>
    </row>
    <row r="13" spans="1:28" ht="31.5" customHeight="1" x14ac:dyDescent="0.25">
      <c r="B13" s="39">
        <v>46174</v>
      </c>
    </row>
    <row r="14" spans="1:28" ht="31.5" customHeight="1" x14ac:dyDescent="0.25">
      <c r="B14" s="52">
        <v>46174</v>
      </c>
    </row>
    <row r="15" spans="1:28" ht="31.5" customHeight="1" x14ac:dyDescent="0.25">
      <c r="B15" s="39">
        <v>46174</v>
      </c>
    </row>
    <row r="16" spans="1:28" ht="31.5" customHeight="1" x14ac:dyDescent="0.25">
      <c r="B16" s="52">
        <v>46150</v>
      </c>
    </row>
    <row r="17" spans="1:28" ht="31.5" customHeight="1" x14ac:dyDescent="0.25">
      <c r="B17" s="39">
        <v>46028</v>
      </c>
    </row>
    <row r="18" spans="1:28" ht="31.5" customHeight="1" x14ac:dyDescent="0.25">
      <c r="B18" s="52">
        <v>46028</v>
      </c>
    </row>
    <row r="19" spans="1:28" ht="31.5" customHeight="1" x14ac:dyDescent="0.25">
      <c r="B19" s="39">
        <v>46028</v>
      </c>
    </row>
    <row r="20" spans="1:28" ht="31.5" customHeight="1" x14ac:dyDescent="0.25">
      <c r="B20" s="52">
        <v>46028</v>
      </c>
    </row>
    <row r="21" spans="1:28" ht="31.5" customHeight="1" x14ac:dyDescent="0.25">
      <c r="B21" s="39">
        <v>46028</v>
      </c>
    </row>
    <row r="22" spans="1:28" ht="31.5" customHeight="1" x14ac:dyDescent="0.25">
      <c r="B22" s="52">
        <v>46028</v>
      </c>
    </row>
    <row r="23" spans="1:28" ht="31.5" customHeight="1" x14ac:dyDescent="0.25">
      <c r="B23" s="39">
        <v>46028</v>
      </c>
    </row>
    <row r="24" spans="1:28" ht="31.5" customHeight="1" x14ac:dyDescent="0.25">
      <c r="B24" s="52">
        <v>46023</v>
      </c>
      <c r="P24" s="57">
        <v>46087</v>
      </c>
    </row>
    <row r="25" spans="1:28" ht="31.5" customHeight="1" x14ac:dyDescent="0.25"/>
    <row r="26" spans="1:28" ht="31.5" customHeight="1" x14ac:dyDescent="0.25"/>
    <row r="27" spans="1:28" ht="31.5" customHeight="1" x14ac:dyDescent="0.25">
      <c r="P27" s="45">
        <v>46087</v>
      </c>
    </row>
    <row r="28" spans="1:28" ht="31.5" customHeight="1" x14ac:dyDescent="0.25">
      <c r="P28" s="57">
        <v>46087</v>
      </c>
    </row>
    <row r="29" spans="1:28" ht="31.5" customHeight="1" x14ac:dyDescent="0.25"/>
    <row r="30" spans="1:28" ht="31.5" customHeight="1" x14ac:dyDescent="0.25">
      <c r="P30" s="57">
        <v>46197</v>
      </c>
    </row>
    <row r="31" spans="1:28" ht="31.5" customHeight="1" x14ac:dyDescent="0.25"/>
    <row r="32" spans="1:28" ht="31.5" customHeight="1" x14ac:dyDescent="0.25"/>
    <row r="33" spans="1:28" ht="31.5" customHeight="1" x14ac:dyDescent="0.25"/>
    <row r="34" spans="1:28" ht="31.5" customHeight="1" x14ac:dyDescent="0.25"/>
    <row r="35" spans="1:28" ht="31.5" customHeight="1" x14ac:dyDescent="0.25"/>
    <row r="36" spans="1:28" ht="31.5" customHeight="1" x14ac:dyDescent="0.25"/>
    <row r="37" spans="1:28" ht="31.5" customHeight="1" x14ac:dyDescent="0.25"/>
    <row r="38" spans="1:28" ht="31.5" customHeight="1" x14ac:dyDescent="0.25"/>
    <row r="39" spans="1:28" ht="31.5" customHeight="1" x14ac:dyDescent="0.25"/>
    <row r="40" spans="1:28" ht="31.5" customHeight="1" x14ac:dyDescent="0.25"/>
    <row r="41" spans="1:28" ht="31.5" customHeight="1" x14ac:dyDescent="0.25"/>
    <row r="42" spans="1:28" ht="31.5" customHeight="1" x14ac:dyDescent="0.25"/>
    <row r="43" spans="1:28" ht="31.5" customHeight="1" x14ac:dyDescent="0.25"/>
    <row r="44" spans="1:28" ht="31.5" customHeight="1" x14ac:dyDescent="0.25"/>
    <row r="45" spans="1:28" ht="31.5" customHeight="1" x14ac:dyDescent="0.25"/>
    <row r="46" spans="1:28" ht="31.5" customHeight="1" x14ac:dyDescent="0.25"/>
    <row r="47" spans="1:28" ht="31.5" customHeight="1" x14ac:dyDescent="0.25"/>
    <row r="48" spans="1:28" ht="31.5" customHeight="1" x14ac:dyDescent="0.25"/>
    <row r="49" spans="1:28" ht="31.5" customHeight="1" x14ac:dyDescent="0.25"/>
    <row r="50" spans="1:28" ht="31.5" customHeight="1" x14ac:dyDescent="0.25"/>
    <row r="51" spans="1:28" ht="31.5" customHeight="1" x14ac:dyDescent="0.25"/>
    <row r="52" spans="1:28" ht="31.5" customHeight="1" x14ac:dyDescent="0.25"/>
    <row r="53" spans="1:28" ht="31.5" customHeight="1" x14ac:dyDescent="0.25"/>
    <row r="54" spans="1:28" ht="31.5" customHeight="1" x14ac:dyDescent="0.25"/>
    <row r="55" spans="1:28" ht="31.5" customHeight="1" x14ac:dyDescent="0.25"/>
    <row r="56" spans="1:28" ht="31.5" customHeight="1" x14ac:dyDescent="0.25"/>
    <row r="57" spans="1:28" ht="31.5" customHeight="1" x14ac:dyDescent="0.25"/>
    <row r="58" spans="1:28" ht="31.5" customHeight="1" x14ac:dyDescent="0.25"/>
    <row r="59" spans="1:28" ht="31.5" customHeight="1" x14ac:dyDescent="0.25"/>
    <row r="60" spans="1:28" ht="31.5" customHeight="1" x14ac:dyDescent="0.25"/>
    <row r="61" spans="1:28" ht="31.5" customHeight="1" x14ac:dyDescent="0.25"/>
    <row r="62" spans="1:28" ht="31.5" customHeight="1" x14ac:dyDescent="0.25"/>
    <row r="63" spans="1:28" ht="31.5" customHeight="1" x14ac:dyDescent="0.25"/>
    <row r="64" spans="1:28" ht="31.5" customHeight="1" x14ac:dyDescent="0.25"/>
    <row r="65" spans="1:28" ht="31.5" customHeight="1" x14ac:dyDescent="0.25"/>
    <row r="66" spans="1:28" ht="31.5" customHeight="1" x14ac:dyDescent="0.25"/>
    <row r="67" spans="1:28" ht="31.5" customHeight="1" x14ac:dyDescent="0.25"/>
    <row r="68" spans="1:28" ht="31.5" customHeight="1" x14ac:dyDescent="0.25"/>
    <row r="69" spans="1:28" ht="31.5" customHeight="1" x14ac:dyDescent="0.25"/>
    <row r="70" spans="1:28" ht="31.5" customHeight="1" x14ac:dyDescent="0.25"/>
    <row r="71" spans="1:28" ht="31.5" customHeight="1" x14ac:dyDescent="0.25"/>
    <row r="72" spans="1:28" ht="31.5" customHeight="1" x14ac:dyDescent="0.25"/>
    <row r="73" spans="1:28" ht="31.5" customHeight="1" x14ac:dyDescent="0.25"/>
    <row r="74" spans="1:28" ht="31.5" customHeight="1" x14ac:dyDescent="0.25"/>
    <row r="75" spans="1:28" ht="31.5" customHeight="1" x14ac:dyDescent="0.25"/>
    <row r="76" spans="1:28" ht="31.5" customHeight="1" x14ac:dyDescent="0.25"/>
    <row r="77" spans="1:28" ht="31.5" customHeight="1" x14ac:dyDescent="0.25"/>
    <row r="78" spans="1:28" ht="31.5" customHeight="1" x14ac:dyDescent="0.25"/>
    <row r="79" spans="1:28" ht="31.5" customHeight="1" x14ac:dyDescent="0.25"/>
    <row r="80" spans="1:28" ht="31.5" customHeight="1" x14ac:dyDescent="0.25"/>
    <row r="81" spans="1:28" ht="31.5" customHeight="1" x14ac:dyDescent="0.25"/>
    <row r="82" spans="1:28" ht="31.5" customHeight="1" x14ac:dyDescent="0.25"/>
    <row r="83" spans="1:28" ht="31.5" customHeight="1" x14ac:dyDescent="0.25"/>
    <row r="84" spans="1:28" ht="31.5" customHeight="1" x14ac:dyDescent="0.25"/>
    <row r="85" spans="1:28" ht="31.5" customHeight="1" x14ac:dyDescent="0.25"/>
    <row r="86" spans="1:28" ht="31.5" customHeight="1" x14ac:dyDescent="0.25"/>
    <row r="87" spans="1:28" ht="31.5" customHeight="1" x14ac:dyDescent="0.25"/>
    <row r="88" spans="1:28" ht="31.5" customHeight="1" x14ac:dyDescent="0.25"/>
    <row r="89" spans="1:28" ht="31.5" customHeight="1" x14ac:dyDescent="0.25"/>
    <row r="90" spans="1:28" ht="31.5" customHeight="1" x14ac:dyDescent="0.25"/>
    <row r="91" spans="1:28" ht="31.5" customHeight="1" x14ac:dyDescent="0.25"/>
    <row r="92" spans="1:28" ht="31.5" customHeight="1" x14ac:dyDescent="0.25"/>
    <row r="93" spans="1:28" ht="31.5" customHeight="1" x14ac:dyDescent="0.25"/>
    <row r="94" spans="1:28" ht="31.5" customHeight="1" x14ac:dyDescent="0.25"/>
    <row r="95" spans="1:28" ht="31.5" customHeight="1" x14ac:dyDescent="0.25"/>
    <row r="96" spans="1:28" ht="31.5" customHeight="1" x14ac:dyDescent="0.25"/>
    <row r="97" spans="1:28" ht="31.5" customHeight="1" x14ac:dyDescent="0.25"/>
    <row r="98" spans="1:28" ht="31.5" customHeight="1" x14ac:dyDescent="0.25"/>
    <row r="99" spans="1:28" ht="31.5" customHeight="1" x14ac:dyDescent="0.25"/>
    <row r="100" spans="1:28" ht="31.5" customHeight="1" x14ac:dyDescent="0.25"/>
    <row r="101" spans="1:28" ht="31.5" customHeight="1" x14ac:dyDescent="0.25"/>
    <row r="102" spans="1:28" ht="31.5" customHeight="1" x14ac:dyDescent="0.25"/>
    <row r="103" spans="1:28" ht="31.5" customHeight="1" x14ac:dyDescent="0.25"/>
    <row r="104" spans="1:28" ht="31.5" customHeight="1" x14ac:dyDescent="0.25"/>
    <row r="105" spans="1:28" ht="31.5" customHeight="1" x14ac:dyDescent="0.25"/>
    <row r="106" spans="1:28" ht="31.5" customHeight="1" x14ac:dyDescent="0.25"/>
    <row r="107" spans="1:28" ht="31.5" customHeight="1" x14ac:dyDescent="0.25"/>
    <row r="108" spans="1:28" ht="31.5" customHeight="1" x14ac:dyDescent="0.25"/>
    <row r="109" spans="1:28" ht="31.5" customHeight="1" x14ac:dyDescent="0.25"/>
    <row r="110" spans="1:28" ht="31.5" customHeight="1" x14ac:dyDescent="0.25"/>
    <row r="111" spans="1:28" ht="31.5" customHeight="1" x14ac:dyDescent="0.25"/>
    <row r="112" spans="1:28" ht="31.5" customHeight="1" x14ac:dyDescent="0.25"/>
    <row r="113" spans="1:28" ht="31.5" customHeight="1" x14ac:dyDescent="0.25"/>
    <row r="114" spans="1:28" ht="31.5" customHeight="1" x14ac:dyDescent="0.25"/>
    <row r="115" spans="1:28" ht="31.5" customHeight="1" x14ac:dyDescent="0.25"/>
    <row r="116" spans="1:28" ht="31.5" customHeight="1" x14ac:dyDescent="0.25"/>
    <row r="117" spans="1:28" ht="31.5" customHeight="1" x14ac:dyDescent="0.25"/>
    <row r="118" spans="1:28" ht="31.5" customHeight="1" x14ac:dyDescent="0.25"/>
    <row r="119" spans="1:28" ht="31.5" customHeight="1" x14ac:dyDescent="0.25"/>
    <row r="120" spans="1:28" ht="31.5" customHeight="1" x14ac:dyDescent="0.25"/>
    <row r="121" spans="1:28" ht="31.5" customHeight="1" x14ac:dyDescent="0.25"/>
    <row r="122" spans="1:28" ht="31.5" customHeight="1" x14ac:dyDescent="0.25"/>
    <row r="123" spans="1:28" ht="31.5" customHeight="1" x14ac:dyDescent="0.25"/>
    <row r="124" spans="1:28" ht="31.5" customHeight="1" x14ac:dyDescent="0.25"/>
    <row r="125" spans="1:28" ht="31.5" customHeight="1" x14ac:dyDescent="0.25"/>
    <row r="126" spans="1:28" ht="31.5" customHeight="1" x14ac:dyDescent="0.25"/>
    <row r="127" spans="1:28" ht="31.5" customHeight="1" x14ac:dyDescent="0.25"/>
    <row r="128" spans="1:28" ht="31.5" customHeight="1" x14ac:dyDescent="0.25"/>
    <row r="129" spans="1:28" ht="31.5" customHeight="1" x14ac:dyDescent="0.25"/>
    <row r="130" spans="1:28" ht="31.5" customHeight="1" x14ac:dyDescent="0.25"/>
    <row r="131" spans="1:28" ht="31.5" customHeight="1" x14ac:dyDescent="0.25"/>
    <row r="132" spans="1:28" ht="31.5" customHeight="1" x14ac:dyDescent="0.25"/>
    <row r="133" spans="1:28" ht="31.5" customHeight="1" x14ac:dyDescent="0.25"/>
    <row r="134" spans="1:28" ht="31.5" customHeight="1" x14ac:dyDescent="0.25"/>
    <row r="135" spans="1:28" ht="31.5" customHeight="1" x14ac:dyDescent="0.25"/>
    <row r="136" spans="1:28" ht="31.5" customHeight="1" x14ac:dyDescent="0.25"/>
    <row r="137" spans="1:28" ht="31.5" customHeight="1" x14ac:dyDescent="0.25"/>
    <row r="138" spans="1:28" ht="31.5" customHeight="1" x14ac:dyDescent="0.25"/>
    <row r="139" spans="1:28" ht="31.5" customHeight="1" x14ac:dyDescent="0.25"/>
    <row r="140" spans="1:28" ht="31.5" customHeight="1" x14ac:dyDescent="0.25"/>
    <row r="141" spans="1:28" ht="31.5" customHeight="1" x14ac:dyDescent="0.25"/>
    <row r="142" spans="1:28" ht="31.5" customHeight="1" x14ac:dyDescent="0.25"/>
    <row r="143" spans="1:28" ht="31.5" customHeight="1" x14ac:dyDescent="0.25"/>
    <row r="144" spans="1:28" ht="31.5" customHeight="1" x14ac:dyDescent="0.25"/>
    <row r="145" spans="1:28" ht="31.5" customHeight="1" x14ac:dyDescent="0.25"/>
    <row r="146" spans="1:28" ht="31.5" customHeight="1" x14ac:dyDescent="0.25"/>
    <row r="147" spans="1:28" ht="31.5" customHeight="1" x14ac:dyDescent="0.25"/>
    <row r="148" spans="1:28" ht="31.5" customHeight="1" x14ac:dyDescent="0.25"/>
    <row r="149" spans="1:28" ht="31.5" customHeight="1" x14ac:dyDescent="0.25"/>
    <row r="150" spans="1:28" ht="31.5" customHeight="1" x14ac:dyDescent="0.25"/>
    <row r="151" spans="1:28" ht="31.5" customHeight="1" x14ac:dyDescent="0.25"/>
    <row r="152" spans="1:28" ht="31.5" customHeight="1" x14ac:dyDescent="0.25"/>
    <row r="153" spans="1:28" ht="31.5" customHeight="1" x14ac:dyDescent="0.25"/>
    <row r="154" spans="1:28" ht="31.5" customHeight="1" x14ac:dyDescent="0.25"/>
    <row r="155" spans="1:28" ht="31.5" customHeight="1" x14ac:dyDescent="0.25"/>
    <row r="156" spans="1:28" ht="31.5" customHeight="1" x14ac:dyDescent="0.25"/>
    <row r="157" spans="1:28" ht="31.5" customHeight="1" x14ac:dyDescent="0.25"/>
    <row r="158" spans="1:28" ht="31.5" customHeight="1" x14ac:dyDescent="0.25"/>
    <row r="159" spans="1:28" ht="31.5" customHeight="1" x14ac:dyDescent="0.25"/>
    <row r="160" spans="1:28" ht="31.5" customHeight="1" x14ac:dyDescent="0.25"/>
    <row r="161" spans="1:28" ht="31.5" customHeight="1" x14ac:dyDescent="0.25"/>
    <row r="162" spans="1:28" ht="31.5" customHeight="1" x14ac:dyDescent="0.25"/>
    <row r="163" spans="1:28" ht="31.5" customHeight="1" x14ac:dyDescent="0.25"/>
    <row r="164" spans="1:28" ht="31.5" customHeight="1" x14ac:dyDescent="0.25"/>
    <row r="165" spans="1:28" ht="31.5" customHeight="1" x14ac:dyDescent="0.25"/>
    <row r="166" spans="1:28" ht="31.5" customHeight="1" x14ac:dyDescent="0.25"/>
    <row r="167" spans="1:28" ht="31.5" customHeight="1" x14ac:dyDescent="0.25"/>
    <row r="168" spans="1:28" ht="31.5" customHeight="1" x14ac:dyDescent="0.25"/>
    <row r="169" spans="1:28" ht="31.5" customHeight="1" x14ac:dyDescent="0.25"/>
    <row r="170" spans="1:28" ht="31.5" customHeight="1" x14ac:dyDescent="0.25"/>
    <row r="171" spans="1:28" ht="31.5" customHeight="1" x14ac:dyDescent="0.25"/>
    <row r="172" spans="1:28" ht="31.5" customHeight="1" x14ac:dyDescent="0.25"/>
    <row r="173" spans="1:28" ht="31.5" customHeight="1" x14ac:dyDescent="0.25"/>
    <row r="174" spans="1:28" ht="31.5" customHeight="1" x14ac:dyDescent="0.25"/>
    <row r="175" spans="1:28" ht="31.5" customHeight="1" x14ac:dyDescent="0.25"/>
    <row r="176" spans="1:28" ht="31.5" customHeight="1" x14ac:dyDescent="0.25"/>
    <row r="177" spans="1:28" ht="31.5" customHeight="1" x14ac:dyDescent="0.25"/>
    <row r="178" spans="1:28" ht="31.5" customHeight="1" x14ac:dyDescent="0.25"/>
    <row r="179" spans="1:28" ht="31.5" customHeight="1" x14ac:dyDescent="0.25"/>
    <row r="180" spans="1:28" ht="31.5" customHeight="1" x14ac:dyDescent="0.25"/>
    <row r="181" spans="1:28" ht="31.5" customHeight="1" x14ac:dyDescent="0.25"/>
    <row r="182" spans="1:28" ht="31.5" customHeight="1" x14ac:dyDescent="0.25"/>
    <row r="183" spans="1:28" ht="31.5" customHeight="1" x14ac:dyDescent="0.25"/>
    <row r="184" spans="1:28" ht="31.5" customHeight="1" x14ac:dyDescent="0.25"/>
    <row r="185" spans="1:28" ht="31.5" customHeight="1" x14ac:dyDescent="0.25"/>
    <row r="186" spans="1:28" ht="31.5" customHeight="1" x14ac:dyDescent="0.25"/>
    <row r="187" spans="1:28" ht="31.5" customHeight="1" x14ac:dyDescent="0.25"/>
    <row r="188" spans="1:28" ht="31.5" customHeight="1" x14ac:dyDescent="0.25"/>
    <row r="189" spans="1:28" ht="31.5" customHeight="1" x14ac:dyDescent="0.25"/>
    <row r="190" spans="1:28" ht="31.5" customHeight="1" x14ac:dyDescent="0.25"/>
    <row r="191" spans="1:28" ht="31.5" customHeight="1" x14ac:dyDescent="0.25"/>
    <row r="192" spans="1:28" ht="31.5" customHeight="1" x14ac:dyDescent="0.25"/>
    <row r="193" spans="1:28" ht="31.5" customHeight="1" x14ac:dyDescent="0.25"/>
    <row r="194" spans="1:28" ht="31.5" customHeight="1" x14ac:dyDescent="0.25"/>
    <row r="195" spans="1:28" ht="31.5" customHeight="1" x14ac:dyDescent="0.25"/>
    <row r="196" spans="1:28" ht="31.5" customHeight="1" x14ac:dyDescent="0.25"/>
    <row r="197" spans="1:28" ht="31.5" customHeight="1" x14ac:dyDescent="0.25"/>
    <row r="198" spans="1:28" ht="31.5" customHeight="1" x14ac:dyDescent="0.25"/>
    <row r="199" spans="1:28" ht="31.5" customHeight="1" x14ac:dyDescent="0.25"/>
    <row r="200" spans="1:28" ht="31.5" customHeight="1" x14ac:dyDescent="0.25"/>
    <row r="201" spans="1:28" ht="31.5" customHeight="1" x14ac:dyDescent="0.25"/>
    <row r="202" spans="1:28" ht="31.5" customHeight="1" x14ac:dyDescent="0.25"/>
    <row r="203" spans="1:28" ht="31.5" customHeight="1" x14ac:dyDescent="0.25"/>
    <row r="204" spans="1:28" ht="31.5" customHeight="1" x14ac:dyDescent="0.25"/>
    <row r="205" spans="1:28" ht="31.5" customHeight="1" x14ac:dyDescent="0.25"/>
    <row r="206" spans="1:28" ht="31.5" customHeight="1" x14ac:dyDescent="0.25"/>
    <row r="207" spans="1:28" ht="31.5" customHeight="1" x14ac:dyDescent="0.25"/>
    <row r="208" spans="1:28" ht="31.5" customHeight="1" x14ac:dyDescent="0.25"/>
    <row r="209" spans="1:28" ht="31.5" customHeight="1" x14ac:dyDescent="0.25"/>
    <row r="210" spans="1:28" ht="31.5" customHeight="1" x14ac:dyDescent="0.25"/>
    <row r="211" spans="1:28" ht="31.5" customHeight="1" x14ac:dyDescent="0.25"/>
    <row r="212" spans="1:28" ht="31.5" customHeight="1" x14ac:dyDescent="0.25"/>
    <row r="213" spans="1:28" ht="31.5" customHeight="1" x14ac:dyDescent="0.25"/>
    <row r="214" spans="1:28" ht="31.5" customHeight="1" x14ac:dyDescent="0.25"/>
    <row r="215" spans="1:28" ht="31.5" customHeight="1" x14ac:dyDescent="0.25"/>
    <row r="216" spans="1:28" ht="31.5" customHeight="1" x14ac:dyDescent="0.25"/>
    <row r="217" spans="1:28" ht="31.5" customHeight="1" x14ac:dyDescent="0.25"/>
    <row r="218" spans="1:28" ht="31.5" customHeight="1" x14ac:dyDescent="0.25"/>
    <row r="219" spans="1:28" ht="31.5" customHeight="1" x14ac:dyDescent="0.25"/>
    <row r="220" spans="1:28" ht="31.5" customHeight="1" x14ac:dyDescent="0.25"/>
    <row r="221" spans="1:28" ht="31.5" customHeight="1" x14ac:dyDescent="0.25"/>
    <row r="222" spans="1:28" ht="31.5" customHeight="1" x14ac:dyDescent="0.25"/>
    <row r="223" spans="1:28" ht="31.5" customHeight="1" x14ac:dyDescent="0.25"/>
    <row r="224" spans="1:28" ht="31.5" customHeight="1" x14ac:dyDescent="0.25"/>
    <row r="225" spans="1:28" ht="31.5" customHeight="1" x14ac:dyDescent="0.25"/>
    <row r="226" spans="1:28" ht="31.5" customHeight="1" x14ac:dyDescent="0.25"/>
    <row r="227" spans="1:28" ht="31.5" customHeight="1" x14ac:dyDescent="0.25"/>
    <row r="228" spans="1:28" ht="31.5" customHeight="1" x14ac:dyDescent="0.25"/>
    <row r="229" spans="1:28" ht="31.5" customHeight="1" x14ac:dyDescent="0.25"/>
    <row r="230" spans="1:28" ht="31.5" customHeight="1" x14ac:dyDescent="0.25"/>
    <row r="231" spans="1:28" ht="31.5" customHeight="1" x14ac:dyDescent="0.25"/>
    <row r="232" spans="1:28" ht="31.5" customHeight="1" x14ac:dyDescent="0.25"/>
    <row r="233" spans="1:28" ht="31.5" customHeight="1" x14ac:dyDescent="0.25"/>
    <row r="234" spans="1:28" ht="31.5" customHeight="1" x14ac:dyDescent="0.25"/>
    <row r="235" spans="1:28" ht="31.5" customHeight="1" x14ac:dyDescent="0.25"/>
    <row r="236" spans="1:28" ht="31.5" customHeight="1" x14ac:dyDescent="0.25"/>
    <row r="237" spans="1:28" ht="31.5" customHeight="1" x14ac:dyDescent="0.25"/>
    <row r="238" spans="1:28" ht="31.5" customHeight="1" x14ac:dyDescent="0.25"/>
    <row r="239" spans="1:28" ht="31.5" customHeight="1" x14ac:dyDescent="0.25"/>
    <row r="240" spans="1:28" ht="31.5" customHeight="1" x14ac:dyDescent="0.25"/>
    <row r="241" spans="1:28" ht="31.5" customHeight="1" x14ac:dyDescent="0.25"/>
    <row r="242" spans="1:28" ht="31.5" customHeight="1" x14ac:dyDescent="0.25"/>
    <row r="243" spans="1:28" ht="31.5" customHeight="1" x14ac:dyDescent="0.25"/>
    <row r="244" spans="1:28" ht="31.5" customHeight="1" x14ac:dyDescent="0.25"/>
    <row r="245" spans="1:28" ht="31.5" customHeight="1" x14ac:dyDescent="0.25"/>
    <row r="246" spans="1:28" ht="31.5" customHeight="1" x14ac:dyDescent="0.25"/>
    <row r="247" spans="1:28" ht="31.5" customHeight="1" x14ac:dyDescent="0.25"/>
    <row r="248" spans="1:28" ht="31.5" customHeight="1" x14ac:dyDescent="0.25"/>
    <row r="249" spans="1:28" ht="31.5" customHeight="1" x14ac:dyDescent="0.25"/>
    <row r="250" spans="1:28" ht="31.5" customHeight="1" x14ac:dyDescent="0.25"/>
    <row r="251" spans="1:28" ht="31.5" customHeight="1" x14ac:dyDescent="0.25"/>
    <row r="252" spans="1:28" ht="31.5" customHeight="1" x14ac:dyDescent="0.25"/>
    <row r="253" spans="1:28" ht="31.5" customHeight="1" x14ac:dyDescent="0.25"/>
    <row r="254" spans="1:28" ht="31.5" customHeight="1" x14ac:dyDescent="0.25"/>
    <row r="255" spans="1:28" ht="31.5" customHeight="1" x14ac:dyDescent="0.25"/>
    <row r="256" spans="1:28" ht="31.5" customHeight="1" x14ac:dyDescent="0.25"/>
    <row r="257" spans="1:28" ht="31.5" customHeight="1" x14ac:dyDescent="0.25"/>
    <row r="258" spans="1:28" ht="31.5" customHeight="1" x14ac:dyDescent="0.25"/>
    <row r="259" spans="1:28" ht="31.5" customHeight="1" x14ac:dyDescent="0.25"/>
    <row r="260" spans="1:28" ht="31.5" customHeight="1" x14ac:dyDescent="0.25"/>
    <row r="261" spans="1:28" ht="31.5" customHeight="1" x14ac:dyDescent="0.25"/>
    <row r="262" spans="1:28" ht="31.5" customHeight="1" x14ac:dyDescent="0.25"/>
    <row r="263" spans="1:28" ht="31.5" customHeight="1" x14ac:dyDescent="0.25"/>
    <row r="264" spans="1:28" ht="31.5" customHeight="1" x14ac:dyDescent="0.25"/>
    <row r="265" spans="1:28" ht="31.5" customHeight="1" x14ac:dyDescent="0.25"/>
    <row r="266" spans="1:28" ht="31.5" customHeight="1" x14ac:dyDescent="0.25"/>
    <row r="267" spans="1:28" ht="31.5" customHeight="1" x14ac:dyDescent="0.25"/>
    <row r="268" spans="1:28" ht="31.5" customHeight="1" x14ac:dyDescent="0.25"/>
    <row r="269" spans="1:28" ht="31.5" customHeight="1" x14ac:dyDescent="0.25"/>
    <row r="270" spans="1:28" ht="31.5" customHeight="1" x14ac:dyDescent="0.25"/>
    <row r="271" spans="1:28" ht="31.5" customHeight="1" x14ac:dyDescent="0.25"/>
    <row r="272" spans="1:28" ht="31.5" customHeight="1" x14ac:dyDescent="0.25"/>
    <row r="273" spans="1:28" ht="31.5" customHeight="1" x14ac:dyDescent="0.25"/>
    <row r="274" spans="1:28" ht="31.5" customHeight="1" x14ac:dyDescent="0.25"/>
    <row r="275" spans="1:28" ht="31.5" customHeight="1" x14ac:dyDescent="0.25"/>
    <row r="276" spans="1:28" ht="31.5" customHeight="1" x14ac:dyDescent="0.25"/>
    <row r="277" spans="1:28" ht="31.5" customHeight="1" x14ac:dyDescent="0.25"/>
    <row r="278" spans="1:28" ht="31.5" customHeight="1" x14ac:dyDescent="0.25"/>
    <row r="279" spans="1:28" ht="31.5" customHeight="1" x14ac:dyDescent="0.25"/>
    <row r="280" spans="1:28" ht="31.5" customHeight="1" x14ac:dyDescent="0.25"/>
    <row r="281" spans="1:28" ht="31.5" customHeight="1" x14ac:dyDescent="0.25"/>
    <row r="282" spans="1:28" ht="31.5" customHeight="1" x14ac:dyDescent="0.25"/>
    <row r="283" spans="1:28" ht="31.5" customHeight="1" x14ac:dyDescent="0.25"/>
    <row r="284" spans="1:28" ht="31.5" customHeight="1" x14ac:dyDescent="0.25"/>
    <row r="285" spans="1:28" ht="31.5" customHeight="1" x14ac:dyDescent="0.25"/>
    <row r="286" spans="1:28" ht="31.5" customHeight="1" x14ac:dyDescent="0.25"/>
    <row r="287" spans="1:28" ht="31.5" customHeight="1" x14ac:dyDescent="0.25"/>
    <row r="288" spans="1:28" ht="31.5" customHeight="1" x14ac:dyDescent="0.25"/>
    <row r="289" spans="1:28" ht="31.5" customHeight="1" x14ac:dyDescent="0.25"/>
    <row r="290" spans="1:28" ht="31.5" customHeight="1" x14ac:dyDescent="0.25"/>
    <row r="291" spans="1:28" ht="31.5" customHeight="1" x14ac:dyDescent="0.25"/>
    <row r="292" spans="1:28" ht="31.5" customHeight="1" x14ac:dyDescent="0.25"/>
    <row r="293" spans="1:28" ht="31.5" customHeight="1" x14ac:dyDescent="0.25"/>
    <row r="294" spans="1:28" ht="31.5" customHeight="1" x14ac:dyDescent="0.25"/>
    <row r="295" spans="1:28" ht="31.5" customHeight="1" x14ac:dyDescent="0.25"/>
    <row r="296" spans="1:28" ht="31.5" customHeight="1" x14ac:dyDescent="0.25"/>
    <row r="297" spans="1:28" ht="31.5" customHeight="1" x14ac:dyDescent="0.25"/>
    <row r="298" spans="1:28" ht="31.5" customHeight="1" x14ac:dyDescent="0.25"/>
    <row r="299" spans="1:28" ht="31.5" customHeight="1" x14ac:dyDescent="0.25"/>
    <row r="300" spans="1:28" ht="31.5" customHeight="1" x14ac:dyDescent="0.25"/>
    <row r="301" spans="1:28" ht="31.5" customHeight="1" x14ac:dyDescent="0.25"/>
    <row r="302" spans="1:28" ht="31.5" customHeight="1" x14ac:dyDescent="0.25"/>
    <row r="303" spans="1:28" ht="31.5" customHeight="1" x14ac:dyDescent="0.25"/>
    <row r="304" spans="1:28" ht="31.5" customHeight="1" x14ac:dyDescent="0.25"/>
    <row r="305" spans="1:28" ht="31.5" customHeight="1" x14ac:dyDescent="0.25"/>
    <row r="306" spans="1:28" ht="31.5" customHeight="1" x14ac:dyDescent="0.25"/>
    <row r="307" spans="1:28" ht="31.5" customHeight="1" x14ac:dyDescent="0.25"/>
    <row r="308" spans="1:28" ht="31.5" customHeight="1" x14ac:dyDescent="0.25"/>
    <row r="309" spans="1:28" ht="31.5" customHeight="1" x14ac:dyDescent="0.25"/>
    <row r="310" spans="1:28" ht="31.5" customHeight="1" x14ac:dyDescent="0.25"/>
    <row r="311" spans="1:28" ht="31.5" customHeight="1" x14ac:dyDescent="0.25"/>
    <row r="312" spans="1:28" ht="31.5" customHeight="1" x14ac:dyDescent="0.25"/>
    <row r="313" spans="1:28" ht="31.5" customHeight="1" x14ac:dyDescent="0.25"/>
    <row r="314" spans="1:28" ht="31.5" customHeight="1" x14ac:dyDescent="0.25"/>
    <row r="315" spans="1:28" ht="31.5" customHeight="1" x14ac:dyDescent="0.25"/>
    <row r="316" spans="1:28" ht="31.5" customHeight="1" x14ac:dyDescent="0.25"/>
    <row r="317" spans="1:28" ht="31.5" customHeight="1" x14ac:dyDescent="0.25"/>
    <row r="318" spans="1:28" ht="31.5" customHeight="1" x14ac:dyDescent="0.25"/>
    <row r="319" spans="1:28" ht="31.5" customHeight="1" x14ac:dyDescent="0.25"/>
    <row r="320" spans="1:28" ht="31.5" customHeight="1" x14ac:dyDescent="0.25"/>
    <row r="321" spans="1:28" ht="31.5" customHeight="1" x14ac:dyDescent="0.25"/>
    <row r="322" spans="1:28" ht="31.5" customHeight="1" x14ac:dyDescent="0.25"/>
    <row r="323" spans="1:28" ht="31.5" customHeight="1" x14ac:dyDescent="0.25"/>
    <row r="324" spans="1:28" ht="31.5" customHeight="1" x14ac:dyDescent="0.25"/>
    <row r="325" spans="1:28" ht="31.5" customHeight="1" x14ac:dyDescent="0.25"/>
    <row r="326" spans="1:28" ht="31.5" customHeight="1" x14ac:dyDescent="0.25"/>
    <row r="327" spans="1:28" ht="31.5" customHeight="1" x14ac:dyDescent="0.25"/>
    <row r="328" spans="1:28" ht="31.5" customHeight="1" x14ac:dyDescent="0.25"/>
    <row r="329" spans="1:28" ht="31.5" customHeight="1" x14ac:dyDescent="0.25"/>
    <row r="330" spans="1:28" ht="31.5" customHeight="1" x14ac:dyDescent="0.25"/>
    <row r="331" spans="1:28" ht="31.5" customHeight="1" x14ac:dyDescent="0.25"/>
    <row r="332" spans="1:28" ht="31.5" customHeight="1" x14ac:dyDescent="0.25"/>
    <row r="333" spans="1:28" ht="31.5" customHeight="1" x14ac:dyDescent="0.25"/>
    <row r="334" spans="1:28" ht="31.5" customHeight="1" x14ac:dyDescent="0.25"/>
    <row r="335" spans="1:28" ht="31.5" customHeight="1" x14ac:dyDescent="0.25"/>
    <row r="336" spans="1:28" ht="31.5" customHeight="1" x14ac:dyDescent="0.25"/>
    <row r="337" spans="1:28" ht="31.5" customHeight="1" x14ac:dyDescent="0.25"/>
    <row r="338" spans="1:28" ht="31.5" customHeight="1" x14ac:dyDescent="0.25"/>
    <row r="339" spans="1:28" ht="31.5" customHeight="1" x14ac:dyDescent="0.25"/>
    <row r="340" spans="1:28" ht="31.5" customHeight="1" x14ac:dyDescent="0.25"/>
    <row r="341" spans="1:28" ht="31.5" customHeight="1" x14ac:dyDescent="0.25"/>
    <row r="342" spans="1:28" ht="31.5" customHeight="1" x14ac:dyDescent="0.25"/>
    <row r="343" spans="1:28" ht="31.5" customHeight="1" x14ac:dyDescent="0.25"/>
    <row r="344" spans="1:28" ht="31.5" customHeight="1" x14ac:dyDescent="0.25"/>
    <row r="345" spans="1:28" ht="31.5" customHeight="1" x14ac:dyDescent="0.25"/>
    <row r="346" spans="1:28" ht="31.5" customHeight="1" x14ac:dyDescent="0.25"/>
    <row r="347" spans="1:28" ht="31.5" customHeight="1" x14ac:dyDescent="0.25"/>
    <row r="348" spans="1:28" ht="31.5" customHeight="1" x14ac:dyDescent="0.25"/>
    <row r="349" spans="1:28" ht="31.5" customHeight="1" x14ac:dyDescent="0.25"/>
    <row r="350" spans="1:28" ht="31.5" customHeight="1" x14ac:dyDescent="0.25"/>
    <row r="351" spans="1:28" ht="31.5" customHeight="1" x14ac:dyDescent="0.25"/>
    <row r="352" spans="1:28" ht="31.5" customHeight="1" x14ac:dyDescent="0.25"/>
    <row r="353" spans="1:28" ht="31.5" customHeight="1" x14ac:dyDescent="0.25"/>
    <row r="354" spans="1:28" ht="31.5" customHeight="1" x14ac:dyDescent="0.25"/>
    <row r="355" spans="1:28" ht="31.5" customHeight="1" x14ac:dyDescent="0.25"/>
    <row r="356" spans="1:28" ht="31.5" customHeight="1" x14ac:dyDescent="0.25"/>
    <row r="357" spans="1:28" ht="31.5" customHeight="1" x14ac:dyDescent="0.25"/>
    <row r="358" spans="1:28" ht="31.5" customHeight="1" x14ac:dyDescent="0.25"/>
    <row r="359" spans="1:28" ht="31.5" customHeight="1" x14ac:dyDescent="0.25"/>
    <row r="360" spans="1:28" ht="31.5" customHeight="1" x14ac:dyDescent="0.25"/>
    <row r="361" spans="1:28" ht="31.5" customHeight="1" x14ac:dyDescent="0.25"/>
    <row r="362" spans="1:28" ht="31.5" customHeight="1" x14ac:dyDescent="0.25"/>
    <row r="363" spans="1:28" ht="31.5" customHeight="1" x14ac:dyDescent="0.25"/>
    <row r="364" spans="1:28" ht="31.5" customHeight="1" x14ac:dyDescent="0.25"/>
    <row r="365" spans="1:28" ht="31.5" customHeight="1" x14ac:dyDescent="0.25"/>
    <row r="366" spans="1:28" ht="31.5" customHeight="1" x14ac:dyDescent="0.25"/>
    <row r="367" spans="1:28" ht="31.5" customHeight="1" x14ac:dyDescent="0.25"/>
    <row r="368" spans="1:28" ht="31.5" customHeight="1" x14ac:dyDescent="0.25"/>
    <row r="369" spans="1:28" ht="31.5" customHeight="1" x14ac:dyDescent="0.25"/>
    <row r="370" spans="1:28" ht="31.5" customHeight="1" x14ac:dyDescent="0.25"/>
    <row r="371" spans="1:28" ht="31.5" customHeight="1" x14ac:dyDescent="0.25"/>
    <row r="372" spans="1:28" ht="31.5" customHeight="1" x14ac:dyDescent="0.25"/>
    <row r="373" spans="1:28" ht="31.5" customHeight="1" x14ac:dyDescent="0.25"/>
    <row r="374" spans="1:28" ht="31.5" customHeight="1" x14ac:dyDescent="0.25"/>
    <row r="375" spans="1:28" ht="31.5" customHeight="1" x14ac:dyDescent="0.25"/>
    <row r="376" spans="1:28" ht="31.5" customHeight="1" x14ac:dyDescent="0.25"/>
    <row r="377" spans="1:28" ht="31.5" customHeight="1" x14ac:dyDescent="0.25"/>
    <row r="378" spans="1:28" ht="31.5" customHeight="1" x14ac:dyDescent="0.25"/>
    <row r="379" spans="1:28" ht="31.5" customHeight="1" x14ac:dyDescent="0.25"/>
    <row r="380" spans="1:28" ht="31.5" customHeight="1" x14ac:dyDescent="0.25"/>
    <row r="381" spans="1:28" ht="31.5" customHeight="1" x14ac:dyDescent="0.25"/>
    <row r="382" spans="1:28" ht="31.5" customHeight="1" x14ac:dyDescent="0.25"/>
    <row r="383" spans="1:28" ht="31.5" customHeight="1" x14ac:dyDescent="0.25"/>
    <row r="384" spans="1:28" ht="31.5" customHeight="1" x14ac:dyDescent="0.25"/>
    <row r="385" spans="1:28" ht="31.5" customHeight="1" x14ac:dyDescent="0.25"/>
    <row r="386" spans="1:28" ht="31.5" customHeight="1" x14ac:dyDescent="0.25"/>
    <row r="387" spans="1:28" ht="31.5" customHeight="1" x14ac:dyDescent="0.25"/>
    <row r="388" spans="1:28" ht="31.5" customHeight="1" x14ac:dyDescent="0.25"/>
    <row r="389" spans="1:28" ht="31.5" customHeight="1" x14ac:dyDescent="0.25"/>
    <row r="390" spans="1:28" ht="31.5" customHeight="1" x14ac:dyDescent="0.25"/>
    <row r="391" spans="1:28" ht="31.5" customHeight="1" x14ac:dyDescent="0.25"/>
    <row r="392" spans="1:28" ht="31.5" customHeight="1" x14ac:dyDescent="0.25"/>
    <row r="393" spans="1:28" ht="31.5" customHeight="1" x14ac:dyDescent="0.25"/>
    <row r="394" spans="1:28" ht="31.5" customHeight="1" x14ac:dyDescent="0.25"/>
    <row r="395" spans="1:28" ht="31.5" customHeight="1" x14ac:dyDescent="0.25"/>
    <row r="396" spans="1:28" ht="31.5" customHeight="1" x14ac:dyDescent="0.25"/>
    <row r="397" spans="1:28" ht="31.5" customHeight="1" x14ac:dyDescent="0.25"/>
    <row r="398" spans="1:28" ht="31.5" customHeight="1" x14ac:dyDescent="0.25"/>
    <row r="399" spans="1:28" ht="31.5" customHeight="1" x14ac:dyDescent="0.25"/>
    <row r="400" spans="1:28" ht="31.5" customHeight="1" x14ac:dyDescent="0.25"/>
    <row r="401" spans="1:28" ht="31.5" customHeight="1" x14ac:dyDescent="0.25"/>
    <row r="402" spans="1:28" ht="31.5" customHeight="1" x14ac:dyDescent="0.25"/>
    <row r="403" spans="1:28" ht="31.5" customHeight="1" x14ac:dyDescent="0.25"/>
    <row r="404" spans="1:28" ht="31.5" customHeight="1" x14ac:dyDescent="0.25"/>
    <row r="405" spans="1:28" ht="31.5" customHeight="1" x14ac:dyDescent="0.25"/>
    <row r="406" spans="1:28" ht="31.5" customHeight="1" x14ac:dyDescent="0.25"/>
    <row r="407" spans="1:28" ht="31.5" customHeight="1" x14ac:dyDescent="0.25"/>
    <row r="408" spans="1:28" ht="31.5" customHeight="1" x14ac:dyDescent="0.25"/>
    <row r="409" spans="1:28" ht="31.5" customHeight="1" x14ac:dyDescent="0.25"/>
    <row r="410" spans="1:28" ht="31.5" customHeight="1" x14ac:dyDescent="0.25"/>
    <row r="411" spans="1:28" ht="31.5" customHeight="1" x14ac:dyDescent="0.25"/>
    <row r="412" spans="1:28" ht="31.5" customHeight="1" x14ac:dyDescent="0.25"/>
    <row r="413" spans="1:28" ht="31.5" customHeight="1" x14ac:dyDescent="0.25"/>
    <row r="414" spans="1:28" ht="31.5" customHeight="1" x14ac:dyDescent="0.25"/>
    <row r="415" spans="1:28" ht="31.5" customHeight="1" x14ac:dyDescent="0.25"/>
    <row r="416" spans="1:28" ht="31.5" customHeight="1" x14ac:dyDescent="0.25"/>
    <row r="417" spans="1:28" ht="31.5" customHeight="1" x14ac:dyDescent="0.25"/>
    <row r="418" spans="1:28" ht="31.5" customHeight="1" x14ac:dyDescent="0.25"/>
    <row r="419" spans="1:28" ht="31.5" customHeight="1" x14ac:dyDescent="0.25"/>
    <row r="420" spans="1:28" ht="31.5" customHeight="1" x14ac:dyDescent="0.25"/>
    <row r="421" spans="1:28" ht="31.5" customHeight="1" x14ac:dyDescent="0.25"/>
    <row r="422" spans="1:28" ht="31.5" customHeight="1" x14ac:dyDescent="0.25"/>
    <row r="423" spans="1:28" ht="31.5" customHeight="1" x14ac:dyDescent="0.25"/>
    <row r="424" spans="1:28" ht="31.5" customHeight="1" x14ac:dyDescent="0.25"/>
    <row r="425" spans="1:28" ht="31.5" customHeight="1" x14ac:dyDescent="0.25"/>
    <row r="426" spans="1:28" ht="31.5" customHeight="1" x14ac:dyDescent="0.25"/>
    <row r="427" spans="1:28" ht="31.5" customHeight="1" x14ac:dyDescent="0.25"/>
    <row r="428" spans="1:28" ht="31.5" customHeight="1" x14ac:dyDescent="0.25"/>
    <row r="429" spans="1:28" ht="31.5" customHeight="1" x14ac:dyDescent="0.25"/>
    <row r="430" spans="1:28" ht="31.5" customHeight="1" x14ac:dyDescent="0.25"/>
    <row r="431" spans="1:28" ht="31.5" customHeight="1" x14ac:dyDescent="0.25"/>
    <row r="432" spans="1:28" ht="31.5" customHeight="1" x14ac:dyDescent="0.25"/>
    <row r="433" spans="1:28" ht="31.5" customHeight="1" x14ac:dyDescent="0.25"/>
    <row r="434" spans="1:28" ht="31.5" customHeight="1" x14ac:dyDescent="0.25"/>
    <row r="435" spans="1:28" ht="31.5" customHeight="1" x14ac:dyDescent="0.25"/>
    <row r="436" spans="1:28" ht="31.5" customHeight="1" x14ac:dyDescent="0.25"/>
    <row r="437" spans="1:28" ht="31.5" customHeight="1" x14ac:dyDescent="0.25"/>
    <row r="438" spans="1:28" ht="31.5" customHeight="1" x14ac:dyDescent="0.25"/>
    <row r="439" spans="1:28" ht="31.5" customHeight="1" x14ac:dyDescent="0.25"/>
    <row r="440" spans="1:28" ht="31.5" customHeight="1" x14ac:dyDescent="0.25"/>
    <row r="441" spans="1:28" ht="31.5" customHeight="1" x14ac:dyDescent="0.25"/>
    <row r="442" spans="1:28" ht="31.5" customHeight="1" x14ac:dyDescent="0.25"/>
    <row r="443" spans="1:28" ht="31.5" customHeight="1" x14ac:dyDescent="0.25"/>
    <row r="444" spans="1:28" ht="31.5" customHeight="1" x14ac:dyDescent="0.25"/>
    <row r="445" spans="1:28" ht="31.5" customHeight="1" x14ac:dyDescent="0.25"/>
    <row r="446" spans="1:28" ht="31.5" customHeight="1" x14ac:dyDescent="0.25"/>
    <row r="447" spans="1:28" ht="31.5" customHeight="1" x14ac:dyDescent="0.25"/>
    <row r="448" spans="1:28" ht="31.5" customHeight="1" x14ac:dyDescent="0.25"/>
    <row r="449" spans="1:28" ht="31.5" customHeight="1" x14ac:dyDescent="0.25"/>
    <row r="450" spans="1:28" ht="31.5" customHeight="1" x14ac:dyDescent="0.25"/>
    <row r="451" spans="1:28" ht="31.5" customHeight="1" x14ac:dyDescent="0.25"/>
    <row r="452" spans="1:28" ht="31.5" customHeight="1" x14ac:dyDescent="0.25"/>
    <row r="453" spans="1:28" ht="31.5" customHeight="1" x14ac:dyDescent="0.25"/>
    <row r="454" spans="1:28" ht="31.5" customHeight="1" x14ac:dyDescent="0.25"/>
    <row r="455" spans="1:28" ht="31.5" customHeight="1" x14ac:dyDescent="0.25"/>
    <row r="456" spans="1:28" ht="31.5" customHeight="1" x14ac:dyDescent="0.25"/>
    <row r="457" spans="1:28" ht="31.5" customHeight="1" x14ac:dyDescent="0.25"/>
    <row r="458" spans="1:28" ht="31.5" customHeight="1" x14ac:dyDescent="0.25"/>
    <row r="459" spans="1:28" ht="31.5" customHeight="1" x14ac:dyDescent="0.25"/>
    <row r="460" spans="1:28" ht="31.5" customHeight="1" x14ac:dyDescent="0.25"/>
    <row r="461" spans="1:28" ht="31.5" customHeight="1" x14ac:dyDescent="0.25"/>
    <row r="462" spans="1:28" ht="31.5" customHeight="1" x14ac:dyDescent="0.25"/>
    <row r="463" spans="1:28" ht="31.5" customHeight="1" x14ac:dyDescent="0.25"/>
    <row r="464" spans="1:28" ht="31.5" customHeight="1" x14ac:dyDescent="0.25"/>
    <row r="465" spans="1:28" ht="31.5" customHeight="1" x14ac:dyDescent="0.25"/>
    <row r="466" spans="1:28" ht="31.5" customHeight="1" x14ac:dyDescent="0.25"/>
    <row r="467" spans="1:28" ht="31.5" customHeight="1" x14ac:dyDescent="0.25"/>
    <row r="468" spans="1:28" ht="31.5" customHeight="1" x14ac:dyDescent="0.25"/>
    <row r="469" spans="1:28" ht="31.5" customHeight="1" x14ac:dyDescent="0.25"/>
    <row r="470" spans="1:28" ht="31.5" customHeight="1" x14ac:dyDescent="0.25"/>
    <row r="471" spans="1:28" ht="31.5" customHeight="1" x14ac:dyDescent="0.25"/>
    <row r="472" spans="1:28" ht="31.5" customHeight="1" x14ac:dyDescent="0.25"/>
    <row r="473" spans="1:28" ht="31.5" customHeight="1" x14ac:dyDescent="0.25"/>
    <row r="474" spans="1:28" ht="31.5" customHeight="1" x14ac:dyDescent="0.25"/>
    <row r="475" spans="1:28" ht="31.5" customHeight="1" x14ac:dyDescent="0.25"/>
    <row r="476" spans="1:28" ht="31.5" customHeight="1" x14ac:dyDescent="0.25"/>
    <row r="477" spans="1:28" ht="31.5" customHeight="1" x14ac:dyDescent="0.25"/>
    <row r="478" spans="1:28" ht="31.5" customHeight="1" x14ac:dyDescent="0.25"/>
    <row r="479" spans="1:28" ht="31.5" customHeight="1" x14ac:dyDescent="0.25"/>
    <row r="480" spans="1:28" ht="31.5" customHeight="1" x14ac:dyDescent="0.25"/>
    <row r="481" spans="1:28" ht="31.5" customHeight="1" x14ac:dyDescent="0.25"/>
    <row r="482" spans="1:28" ht="31.5" customHeight="1" x14ac:dyDescent="0.25"/>
    <row r="483" spans="1:28" ht="31.5" customHeight="1" x14ac:dyDescent="0.25"/>
    <row r="484" spans="1:28" ht="31.5" customHeight="1" x14ac:dyDescent="0.25"/>
    <row r="485" spans="1:28" ht="31.5" customHeight="1" x14ac:dyDescent="0.25"/>
    <row r="486" spans="1:28" ht="31.5" customHeight="1" x14ac:dyDescent="0.25"/>
    <row r="487" spans="1:28" ht="31.5" customHeight="1" x14ac:dyDescent="0.25"/>
    <row r="488" spans="1:28" ht="31.5" customHeight="1" x14ac:dyDescent="0.25"/>
    <row r="489" spans="1:28" ht="31.5" customHeight="1" x14ac:dyDescent="0.25"/>
    <row r="490" spans="1:28" ht="31.5" customHeight="1" x14ac:dyDescent="0.25"/>
    <row r="491" spans="1:28" ht="31.5" customHeight="1" x14ac:dyDescent="0.25"/>
    <row r="492" spans="1:28" ht="31.5" customHeight="1" x14ac:dyDescent="0.25"/>
    <row r="493" spans="1:28" ht="31.5" customHeight="1" x14ac:dyDescent="0.25"/>
    <row r="494" spans="1:28" ht="31.5" customHeight="1" x14ac:dyDescent="0.25"/>
    <row r="495" spans="1:28" ht="31.5" customHeight="1" x14ac:dyDescent="0.25"/>
    <row r="496" spans="1:28" ht="31.5" customHeight="1" x14ac:dyDescent="0.25"/>
    <row r="497" spans="1:28" ht="31.5" customHeight="1" x14ac:dyDescent="0.25"/>
    <row r="498" spans="1:28" ht="31.5" customHeight="1" x14ac:dyDescent="0.25"/>
    <row r="499" spans="1:28" ht="31.5" customHeight="1" x14ac:dyDescent="0.25"/>
    <row r="500" spans="1:28" ht="31.5" customHeight="1" x14ac:dyDescent="0.25"/>
    <row r="501" spans="1:28" ht="31.5" customHeight="1" x14ac:dyDescent="0.25"/>
    <row r="502" spans="1:28" ht="31.5" customHeight="1" x14ac:dyDescent="0.25"/>
    <row r="503" spans="1:28" ht="31.5" customHeight="1" x14ac:dyDescent="0.25"/>
    <row r="504" spans="1:28" ht="31.5" customHeight="1" x14ac:dyDescent="0.25"/>
    <row r="505" spans="1:28" ht="31.5" customHeight="1" x14ac:dyDescent="0.25"/>
    <row r="506" spans="1:28" ht="31.5" customHeight="1" x14ac:dyDescent="0.25"/>
    <row r="507" spans="1:28" ht="31.5" customHeight="1" x14ac:dyDescent="0.25"/>
    <row r="508" spans="1:28" ht="31.5" customHeight="1" x14ac:dyDescent="0.25"/>
    <row r="509" spans="1:28" ht="31.5" customHeight="1" x14ac:dyDescent="0.25"/>
    <row r="510" spans="1:28" ht="31.5" customHeight="1" x14ac:dyDescent="0.25"/>
    <row r="511" spans="1:28" ht="31.5" customHeight="1" x14ac:dyDescent="0.25"/>
    <row r="512" spans="1:28" ht="31.5" customHeight="1" x14ac:dyDescent="0.25"/>
    <row r="513" spans="1:28" ht="31.5" customHeight="1" x14ac:dyDescent="0.25"/>
    <row r="514" spans="1:28" ht="31.5" customHeight="1" x14ac:dyDescent="0.25"/>
    <row r="515" spans="1:28" ht="31.5" customHeight="1" x14ac:dyDescent="0.25"/>
    <row r="516" spans="1:28" ht="31.5" customHeight="1" x14ac:dyDescent="0.25"/>
    <row r="517" spans="1:28" ht="31.5" customHeight="1" x14ac:dyDescent="0.25"/>
    <row r="518" spans="1:28" ht="31.5" customHeight="1" x14ac:dyDescent="0.25"/>
    <row r="519" spans="1:28" ht="31.5" customHeight="1" x14ac:dyDescent="0.25"/>
    <row r="520" spans="1:28" ht="31.5" customHeight="1" x14ac:dyDescent="0.25"/>
    <row r="521" spans="1:28" ht="31.5" customHeight="1" x14ac:dyDescent="0.25"/>
    <row r="522" spans="1:28" ht="31.5" customHeight="1" x14ac:dyDescent="0.25"/>
    <row r="523" spans="1:28" ht="31.5" customHeight="1" x14ac:dyDescent="0.25"/>
    <row r="524" spans="1:28" ht="31.5" customHeight="1" x14ac:dyDescent="0.25"/>
    <row r="525" spans="1:28" ht="31.5" customHeight="1" x14ac:dyDescent="0.25"/>
    <row r="526" spans="1:28" ht="31.5" customHeight="1" x14ac:dyDescent="0.25"/>
    <row r="527" spans="1:28" ht="31.5" customHeight="1" x14ac:dyDescent="0.25"/>
    <row r="528" spans="1:28" ht="31.5" customHeight="1" x14ac:dyDescent="0.25"/>
    <row r="529" spans="1:28" ht="31.5" customHeight="1" x14ac:dyDescent="0.25"/>
    <row r="530" spans="1:28" ht="31.5" customHeight="1" x14ac:dyDescent="0.25"/>
    <row r="531" spans="1:28" ht="31.5" customHeight="1" x14ac:dyDescent="0.25"/>
    <row r="532" spans="1:28" ht="31.5" customHeight="1" x14ac:dyDescent="0.25"/>
    <row r="533" spans="1:28" ht="31.5" customHeight="1" x14ac:dyDescent="0.25"/>
    <row r="534" spans="1:28" ht="31.5" customHeight="1" x14ac:dyDescent="0.25"/>
    <row r="535" spans="1:28" ht="31.5" customHeight="1" x14ac:dyDescent="0.25"/>
    <row r="536" spans="1:28" ht="31.5" customHeight="1" x14ac:dyDescent="0.25"/>
    <row r="537" spans="1:28" ht="31.5" customHeight="1" x14ac:dyDescent="0.25"/>
    <row r="538" spans="1:28" ht="31.5" customHeight="1" x14ac:dyDescent="0.25"/>
    <row r="539" spans="1:28" ht="31.5" customHeight="1" x14ac:dyDescent="0.25"/>
    <row r="540" spans="1:28" ht="31.5" customHeight="1" x14ac:dyDescent="0.25"/>
    <row r="541" spans="1:28" ht="31.5" customHeight="1" x14ac:dyDescent="0.25"/>
    <row r="542" spans="1:28" ht="31.5" customHeight="1" x14ac:dyDescent="0.25"/>
    <row r="543" spans="1:28" ht="31.5" customHeight="1" x14ac:dyDescent="0.25"/>
    <row r="544" spans="1:28" ht="31.5" customHeight="1" x14ac:dyDescent="0.25"/>
    <row r="545" spans="1:28" ht="31.5" customHeight="1" x14ac:dyDescent="0.25"/>
    <row r="546" spans="1:28" ht="31.5" customHeight="1" x14ac:dyDescent="0.25"/>
    <row r="547" spans="1:28" ht="31.5" customHeight="1" x14ac:dyDescent="0.25"/>
    <row r="548" spans="1:28" ht="31.5" customHeight="1" x14ac:dyDescent="0.25"/>
    <row r="549" spans="1:28" ht="31.5" customHeight="1" x14ac:dyDescent="0.25"/>
    <row r="550" spans="1:28" ht="31.5" customHeight="1" x14ac:dyDescent="0.25"/>
    <row r="551" spans="1:28" ht="31.5" customHeight="1" x14ac:dyDescent="0.25"/>
    <row r="552" spans="1:28" ht="31.5" customHeight="1" x14ac:dyDescent="0.25"/>
    <row r="553" spans="1:28" ht="31.5" customHeight="1" x14ac:dyDescent="0.25"/>
    <row r="554" spans="1:28" ht="31.5" customHeight="1" x14ac:dyDescent="0.25"/>
    <row r="555" spans="1:28" ht="31.5" customHeight="1" x14ac:dyDescent="0.25"/>
    <row r="556" spans="1:28" ht="31.5" customHeight="1" x14ac:dyDescent="0.25"/>
    <row r="557" spans="1:28" ht="31.5" customHeight="1" x14ac:dyDescent="0.25"/>
    <row r="558" spans="1:28" ht="31.5" customHeight="1" x14ac:dyDescent="0.25"/>
    <row r="559" spans="1:28" ht="31.5" customHeight="1" x14ac:dyDescent="0.25"/>
    <row r="560" spans="1:28" ht="31.5" customHeight="1" x14ac:dyDescent="0.25"/>
    <row r="561" spans="1:28" ht="31.5" customHeight="1" x14ac:dyDescent="0.25"/>
    <row r="562" spans="1:28" ht="31.5" customHeight="1" x14ac:dyDescent="0.25"/>
    <row r="563" spans="1:28" ht="31.5" customHeight="1" x14ac:dyDescent="0.25"/>
    <row r="564" spans="1:28" ht="31.5" customHeight="1" x14ac:dyDescent="0.25"/>
    <row r="565" spans="1:28" ht="31.5" customHeight="1" x14ac:dyDescent="0.25"/>
    <row r="566" spans="1:28" ht="31.5" customHeight="1" x14ac:dyDescent="0.25"/>
    <row r="567" spans="1:28" ht="31.5" customHeight="1" x14ac:dyDescent="0.25"/>
    <row r="568" spans="1:28" ht="31.5" customHeight="1" x14ac:dyDescent="0.25"/>
    <row r="569" spans="1:28" ht="31.5" customHeight="1" x14ac:dyDescent="0.25"/>
    <row r="570" spans="1:28" ht="31.5" customHeight="1" x14ac:dyDescent="0.25"/>
    <row r="571" spans="1:28" ht="31.5" customHeight="1" x14ac:dyDescent="0.25"/>
    <row r="572" spans="1:28" ht="31.5" customHeight="1" x14ac:dyDescent="0.25"/>
    <row r="573" spans="1:28" ht="31.5" customHeight="1" x14ac:dyDescent="0.25"/>
    <row r="574" spans="1:28" ht="31.5" customHeight="1" x14ac:dyDescent="0.25"/>
    <row r="575" spans="1:28" ht="31.5" customHeight="1" x14ac:dyDescent="0.25"/>
    <row r="576" spans="1:28" ht="31.5" customHeight="1" x14ac:dyDescent="0.25"/>
    <row r="577" spans="1:28" ht="31.5" customHeight="1" x14ac:dyDescent="0.25"/>
    <row r="578" spans="1:28" ht="31.5" customHeight="1" x14ac:dyDescent="0.25"/>
    <row r="579" spans="1:28" ht="31.5" customHeight="1" x14ac:dyDescent="0.25"/>
    <row r="580" spans="1:28" ht="31.5" customHeight="1" x14ac:dyDescent="0.25"/>
    <row r="581" spans="1:28" ht="31.5" customHeight="1" x14ac:dyDescent="0.25"/>
    <row r="582" spans="1:28" ht="31.5" customHeight="1" x14ac:dyDescent="0.25"/>
    <row r="583" spans="1:28" ht="31.5" customHeight="1" x14ac:dyDescent="0.25"/>
    <row r="584" spans="1:28" ht="31.5" customHeight="1" x14ac:dyDescent="0.25"/>
    <row r="585" spans="1:28" ht="31.5" customHeight="1" x14ac:dyDescent="0.25"/>
    <row r="586" spans="1:28" ht="31.5" customHeight="1" x14ac:dyDescent="0.25"/>
    <row r="587" spans="1:28" ht="31.5" customHeight="1" x14ac:dyDescent="0.25"/>
    <row r="588" spans="1:28" ht="31.5" customHeight="1" x14ac:dyDescent="0.25"/>
    <row r="589" spans="1:28" ht="31.5" customHeight="1" x14ac:dyDescent="0.25"/>
    <row r="590" spans="1:28" ht="31.5" customHeight="1" x14ac:dyDescent="0.25"/>
    <row r="591" spans="1:28" ht="31.5" customHeight="1" x14ac:dyDescent="0.25"/>
    <row r="592" spans="1:28" ht="31.5" customHeight="1" x14ac:dyDescent="0.25"/>
    <row r="593" spans="1:28" ht="31.5" customHeight="1" x14ac:dyDescent="0.25"/>
    <row r="594" spans="1:28" ht="31.5" customHeight="1" x14ac:dyDescent="0.25"/>
    <row r="595" spans="1:28" ht="31.5" customHeight="1" x14ac:dyDescent="0.25"/>
    <row r="596" spans="1:28" ht="31.5" customHeight="1" x14ac:dyDescent="0.25"/>
    <row r="597" spans="1:28" ht="31.5" customHeight="1" x14ac:dyDescent="0.25"/>
    <row r="598" spans="1:28" ht="31.5" customHeight="1" x14ac:dyDescent="0.25"/>
    <row r="599" spans="1:28" ht="31.5" customHeight="1" x14ac:dyDescent="0.25"/>
    <row r="600" spans="1:28" ht="31.5" customHeight="1" x14ac:dyDescent="0.25"/>
    <row r="601" spans="1:28" ht="31.5" customHeight="1" x14ac:dyDescent="0.25"/>
  </sheetData>
  <sheetProtection sheet="1" formatCells="0" formatColumns="0" formatRows="0" insertRows="0" sort="0" autoFilter="0"/>
  <autoFilter ref="A1:Z601" xr:uid="{00000000-0009-0000-0000-000001000000}"/>
  <conditionalFormatting sqref="A3:Z601">
    <cfRule type="expression" dxfId="9" priority="7">
      <formula>$N3="Terminée"</formula>
    </cfRule>
  </conditionalFormatting>
  <conditionalFormatting sqref="J3:J601">
    <cfRule type="cellIs" dxfId="8" priority="2" operator="equal">
      <formula>"1 - Critique (arrêt production)"</formula>
    </cfRule>
  </conditionalFormatting>
  <conditionalFormatting sqref="N3:N601">
    <cfRule type="cellIs" dxfId="7" priority="3" operator="equal">
      <formula>"Terminée"</formula>
    </cfRule>
    <cfRule type="cellIs" dxfId="6" priority="4" operator="equal">
      <formula>"Nouvelle"</formula>
    </cfRule>
  </conditionalFormatting>
  <conditionalFormatting sqref="U3:U601">
    <cfRule type="cellIs" dxfId="4" priority="5" operator="equal">
      <formula>"Oui"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100-000006000000}">
            <xm:f>AND($O3&lt;&gt;"",$O3&gt;'8-Param'!$Q$3)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O3:O601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100-000000000000}">
          <x14:formula1>
            <xm:f>'8-Param'!$D$2:$D$12</xm:f>
          </x14:formula1>
          <x14:formula2>
            <xm:f>0</xm:f>
          </x14:formula2>
          <xm:sqref>C2:C601</xm:sqref>
        </x14:dataValidation>
        <x14:dataValidation type="list" allowBlank="1" xr:uid="{00000000-0002-0000-0100-000001000000}">
          <x14:formula1>
            <xm:f>'3-Parc machines'!$A$2:$A$600</xm:f>
          </x14:formula1>
          <x14:formula2>
            <xm:f>0</xm:f>
          </x14:formula2>
          <xm:sqref>D2:D601</xm:sqref>
        </x14:dataValidation>
        <x14:dataValidation type="list" allowBlank="1" xr:uid="{00000000-0002-0000-0100-000002000000}">
          <x14:formula1>
            <xm:f>'8-Param'!$E$2:$E$6</xm:f>
          </x14:formula1>
          <x14:formula2>
            <xm:f>0</xm:f>
          </x14:formula2>
          <xm:sqref>J2:J601</xm:sqref>
        </x14:dataValidation>
        <x14:dataValidation type="list" allowBlank="1" xr:uid="{00000000-0002-0000-0100-000003000000}">
          <x14:formula1>
            <xm:f>'8-Param'!$G$2:$G$20</xm:f>
          </x14:formula1>
          <x14:formula2>
            <xm:f>0</xm:f>
          </x14:formula2>
          <xm:sqref>K2:K601</xm:sqref>
        </x14:dataValidation>
        <x14:dataValidation type="list" allowBlank="1" xr:uid="{00000000-0002-0000-0100-000004000000}">
          <x14:formula1>
            <xm:f>'8-Param'!$F$2:$F$9</xm:f>
          </x14:formula1>
          <x14:formula2>
            <xm:f>0</xm:f>
          </x14:formula2>
          <xm:sqref>M2:M601</xm:sqref>
        </x14:dataValidation>
        <x14:dataValidation type="list" allowBlank="1" xr:uid="{00000000-0002-0000-0100-000005000000}">
          <x14:formula1>
            <xm:f>'8-Param'!$M$2:$M$3</xm:f>
          </x14:formula1>
          <x14:formula2>
            <xm:f>0</xm:f>
          </x14:formula2>
          <xm:sqref>U2:U601</xm:sqref>
        </x14:dataValidation>
        <x14:dataValidation type="list" allowBlank="1" xr:uid="{00000000-0002-0000-0100-000006000000}">
          <x14:formula1>
            <xm:f>'8-Param'!$L$2:$L$9</xm:f>
          </x14:formula1>
          <x14:formula2>
            <xm:f>0</xm:f>
          </x14:formula2>
          <xm:sqref>V2:V601</xm:sqref>
        </x14:dataValidation>
        <x14:dataValidation type="list" allowBlank="1" xr:uid="{00000000-0002-0000-0100-000007000000}">
          <x14:formula1>
            <xm:f>'8-Param'!$H$2:$H$7</xm:f>
          </x14:formula1>
          <x14:formula2>
            <xm:f>0</xm:f>
          </x14:formula2>
          <xm:sqref>W2:W601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J8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2" customWidth="1"/>
    <col min="2" max="2" width="16" customWidth="1"/>
    <col min="3" max="3" width="20" customWidth="1"/>
    <col min="4" max="4" width="15" customWidth="1"/>
    <col min="5" max="5" width="34" customWidth="1"/>
    <col min="6" max="6" width="44" customWidth="1"/>
    <col min="7" max="7" width="22" customWidth="1"/>
    <col min="8" max="8" width="13" customWidth="1"/>
    <col min="9" max="9" width="22" customWidth="1"/>
    <col min="10" max="10" width="13" customWidth="1"/>
  </cols>
  <sheetData>
    <row r="2" spans="2:10" ht="27.75" customHeight="1" x14ac:dyDescent="0.25"/>
    <row r="4" spans="2:10" ht="30" customHeight="1" x14ac:dyDescent="0.25"/>
    <row r="5" spans="2:10" ht="30" customHeight="1" x14ac:dyDescent="0.25">
      <c r="H5" s="65">
        <f>IFERROR(IF(INDEX('1-Demandes SAV'!$L$2:$L$601,MATCH(1,'1-Demandes SAV'!$AB$2:$AB$601,0))="","",INDEX('1-Demandes SAV'!$L$2:$L$601,MATCH(1,'1-Demandes SAV'!$AB$2:$AB$601,0))),"")</f>
        <v>46252</v>
      </c>
    </row>
    <row r="6" spans="2:10" ht="30" customHeight="1" x14ac:dyDescent="0.25">
      <c r="H6" s="69">
        <f>IFERROR(IF(INDEX('1-Demandes SAV'!$L$2:$L$601,MATCH(2,'1-Demandes SAV'!$AB$2:$AB$601,0))="","",INDEX('1-Demandes SAV'!$L$2:$L$601,MATCH(2,'1-Demandes SAV'!$AB$2:$AB$601,0))),"")</f>
        <v>46252</v>
      </c>
    </row>
    <row r="7" spans="2:10" ht="30" customHeight="1" x14ac:dyDescent="0.25"/>
    <row r="8" spans="2:10" ht="30" customHeight="1" x14ac:dyDescent="0.25"/>
    <row r="9" spans="2:10" ht="30" customHeight="1" x14ac:dyDescent="0.25"/>
    <row r="10" spans="2:10" ht="30" customHeight="1" x14ac:dyDescent="0.25"/>
    <row r="11" spans="2:10" ht="30" customHeight="1" x14ac:dyDescent="0.25"/>
    <row r="12" spans="2:10" ht="30" customHeight="1" x14ac:dyDescent="0.25"/>
    <row r="13" spans="2:10" ht="30" customHeight="1" x14ac:dyDescent="0.25"/>
    <row r="14" spans="2:10" ht="30" customHeight="1" x14ac:dyDescent="0.25"/>
    <row r="15" spans="2:10" ht="30" customHeight="1" x14ac:dyDescent="0.25"/>
    <row r="16" spans="2:10" ht="30" customHeight="1" x14ac:dyDescent="0.25"/>
    <row r="17" spans="2:10" ht="30" customHeight="1" x14ac:dyDescent="0.25"/>
    <row r="18" spans="2:10" ht="30" customHeight="1" x14ac:dyDescent="0.25"/>
    <row r="19" spans="2:10" ht="30" customHeight="1" x14ac:dyDescent="0.25"/>
    <row r="20" spans="2:10" ht="30" customHeight="1" x14ac:dyDescent="0.25"/>
    <row r="21" spans="2:10" ht="30" customHeight="1" x14ac:dyDescent="0.25"/>
    <row r="22" spans="2:10" ht="30" customHeight="1" x14ac:dyDescent="0.25"/>
    <row r="23" spans="2:10" ht="30" customHeight="1" x14ac:dyDescent="0.25"/>
    <row r="24" spans="2:10" ht="30" customHeight="1" x14ac:dyDescent="0.25"/>
    <row r="25" spans="2:10" ht="30" customHeight="1" x14ac:dyDescent="0.25"/>
    <row r="26" spans="2:10" ht="30" customHeight="1" x14ac:dyDescent="0.25"/>
    <row r="27" spans="2:10" ht="30" customHeight="1" x14ac:dyDescent="0.25"/>
    <row r="28" spans="2:10" ht="30" customHeight="1" x14ac:dyDescent="0.25"/>
    <row r="29" spans="2:10" ht="30" customHeight="1" x14ac:dyDescent="0.25"/>
    <row r="30" spans="2:10" ht="30" customHeight="1" x14ac:dyDescent="0.25"/>
    <row r="31" spans="2:10" ht="30" customHeight="1" x14ac:dyDescent="0.25"/>
    <row r="32" spans="2:10" ht="30" customHeight="1" x14ac:dyDescent="0.25"/>
    <row r="33" spans="2:10" ht="30" customHeight="1" x14ac:dyDescent="0.25"/>
    <row r="34" spans="2:10" ht="30" customHeight="1" x14ac:dyDescent="0.25"/>
    <row r="35" spans="2:10" ht="30" customHeight="1" x14ac:dyDescent="0.25"/>
    <row r="36" spans="2:10" ht="30" customHeight="1" x14ac:dyDescent="0.25"/>
    <row r="37" spans="2:10" ht="30" customHeight="1" x14ac:dyDescent="0.25"/>
    <row r="38" spans="2:10" ht="30" customHeight="1" x14ac:dyDescent="0.25"/>
    <row r="39" spans="2:10" ht="30" customHeight="1" x14ac:dyDescent="0.25"/>
    <row r="40" spans="2:10" ht="30" customHeight="1" x14ac:dyDescent="0.25"/>
    <row r="41" spans="2:10" ht="30" customHeight="1" x14ac:dyDescent="0.25"/>
    <row r="42" spans="2:10" ht="30" customHeight="1" x14ac:dyDescent="0.25"/>
    <row r="43" spans="2:10" ht="30" customHeight="1" x14ac:dyDescent="0.25"/>
    <row r="44" spans="2:10" ht="30" customHeight="1" x14ac:dyDescent="0.25"/>
    <row r="45" spans="2:10" ht="30" customHeight="1" x14ac:dyDescent="0.25"/>
    <row r="46" spans="2:10" ht="30" customHeight="1" x14ac:dyDescent="0.25"/>
    <row r="47" spans="2:10" ht="30" customHeight="1" x14ac:dyDescent="0.25"/>
    <row r="48" spans="2:10" ht="30" customHeight="1" x14ac:dyDescent="0.25"/>
    <row r="49" spans="2:10" ht="30" customHeight="1" x14ac:dyDescent="0.25"/>
    <row r="50" spans="2:10" ht="30" customHeight="1" x14ac:dyDescent="0.25"/>
    <row r="51" spans="2:10" ht="30" customHeight="1" x14ac:dyDescent="0.25"/>
    <row r="52" spans="2:10" ht="30" customHeight="1" x14ac:dyDescent="0.25"/>
    <row r="53" spans="2:10" ht="30" customHeight="1" x14ac:dyDescent="0.25"/>
    <row r="54" spans="2:10" ht="30" customHeight="1" x14ac:dyDescent="0.25"/>
    <row r="55" spans="2:10" ht="30" customHeight="1" x14ac:dyDescent="0.25"/>
    <row r="56" spans="2:10" ht="30" customHeight="1" x14ac:dyDescent="0.25"/>
    <row r="57" spans="2:10" ht="30" customHeight="1" x14ac:dyDescent="0.25"/>
    <row r="58" spans="2:10" ht="30" customHeight="1" x14ac:dyDescent="0.25"/>
    <row r="59" spans="2:10" ht="30" customHeight="1" x14ac:dyDescent="0.25"/>
    <row r="60" spans="2:10" ht="30" customHeight="1" x14ac:dyDescent="0.25"/>
    <row r="61" spans="2:10" ht="30" customHeight="1" x14ac:dyDescent="0.25"/>
    <row r="62" spans="2:10" ht="30" customHeight="1" x14ac:dyDescent="0.25"/>
    <row r="63" spans="2:10" ht="30" customHeight="1" x14ac:dyDescent="0.25"/>
    <row r="64" spans="2:10" ht="30" customHeight="1" x14ac:dyDescent="0.25"/>
    <row r="65" spans="2:10" ht="30" customHeight="1" x14ac:dyDescent="0.25"/>
    <row r="66" spans="2:10" ht="30" customHeight="1" x14ac:dyDescent="0.25"/>
    <row r="67" spans="2:10" ht="30" customHeight="1" x14ac:dyDescent="0.25"/>
    <row r="68" spans="2:10" ht="30" customHeight="1" x14ac:dyDescent="0.25"/>
    <row r="69" spans="2:10" ht="30" customHeight="1" x14ac:dyDescent="0.25"/>
    <row r="70" spans="2:10" ht="30" customHeight="1" x14ac:dyDescent="0.25"/>
    <row r="71" spans="2:10" ht="30" customHeight="1" x14ac:dyDescent="0.25"/>
    <row r="72" spans="2:10" ht="30" customHeight="1" x14ac:dyDescent="0.25"/>
    <row r="73" spans="2:10" ht="30" customHeight="1" x14ac:dyDescent="0.25"/>
    <row r="74" spans="2:10" ht="30" customHeight="1" x14ac:dyDescent="0.25"/>
    <row r="75" spans="2:10" ht="30" customHeight="1" x14ac:dyDescent="0.25"/>
    <row r="76" spans="2:10" ht="30" customHeight="1" x14ac:dyDescent="0.25"/>
    <row r="77" spans="2:10" ht="30" customHeight="1" x14ac:dyDescent="0.25"/>
    <row r="78" spans="2:10" ht="30" customHeight="1" x14ac:dyDescent="0.25"/>
    <row r="79" spans="2:10" ht="30" customHeight="1" x14ac:dyDescent="0.25"/>
    <row r="80" spans="2:10" ht="30" customHeight="1" x14ac:dyDescent="0.25"/>
    <row r="81" spans="2:10" ht="30" customHeight="1" x14ac:dyDescent="0.25"/>
    <row r="82" spans="2:10" ht="30" customHeight="1" x14ac:dyDescent="0.25"/>
    <row r="83" spans="2:10" ht="30" customHeight="1" x14ac:dyDescent="0.25"/>
    <row r="84" spans="2:10" ht="30" customHeight="1" x14ac:dyDescent="0.25"/>
  </sheetData>
  <sheetProtection sheet="1" sort="0" autoFilter="0"/>
  <mergeCells count="2">
    <mergeCell ref="B2:C2"/>
    <mergeCell ref="E2:J2"/>
  </mergeCells>
  <conditionalFormatting sqref="G5:G84">
    <cfRule type="cellIs" dxfId="3" priority="2" operator="equal">
      <formula>"1 - Critique (arrêt production)"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'8-Param'!$G$2:$G$20</xm:f>
          </x14:formula1>
          <x14:formula2>
            <xm:f>0</xm:f>
          </x14:formula2>
          <xm:sqref>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600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12" customWidth="1"/>
    <col min="2" max="2" width="19" customWidth="1"/>
    <col min="3" max="3" width="14" customWidth="1"/>
    <col min="4" max="4" width="21" customWidth="1"/>
    <col min="5" max="5" width="22" customWidth="1"/>
    <col min="6" max="6" width="15" customWidth="1"/>
    <col min="7" max="8" width="17" customWidth="1"/>
    <col min="9" max="9" width="10" customWidth="1"/>
    <col min="10" max="10" width="15" customWidth="1"/>
    <col min="11" max="11" width="17" customWidth="1"/>
    <col min="12" max="12" width="14" customWidth="1"/>
    <col min="13" max="13" width="17" customWidth="1"/>
    <col min="14" max="14" width="13" customWidth="1"/>
    <col min="15" max="15" width="36" customWidth="1"/>
    <col min="16" max="17" width="11" customWidth="1"/>
    <col min="18" max="18" width="13" customWidth="1"/>
    <col min="19" max="19" width="14" customWidth="1"/>
    <col min="20" max="20" width="12" customWidth="1"/>
    <col min="21" max="21" width="40" customWidth="1"/>
    <col min="22" max="22" width="10" customWidth="1"/>
    <col min="23" max="23" width="12" customWidth="1"/>
    <col min="24" max="24" width="18" customWidth="1"/>
    <col min="25" max="25" width="50" customWidth="1"/>
  </cols>
  <sheetData>
    <row r="1" spans="1:25" ht="33.75" customHeight="1" x14ac:dyDescent="0.25"/>
    <row r="2" spans="1:25" ht="30" customHeight="1" x14ac:dyDescent="0.25">
      <c r="R2" s="74">
        <f>IF($A2="","",IFERROR(_xlfn.MAXIFS('6-Historique'!$D$2:$D$1997,'6-Historique'!$B$2:$B$1997,$A2),""))</f>
        <v>46007</v>
      </c>
    </row>
    <row r="3" spans="1:25" ht="30" customHeight="1" x14ac:dyDescent="0.25">
      <c r="R3" s="81">
        <f>IF($A3="","",IFERROR(_xlfn.MAXIFS('6-Historique'!$D$2:$D$1997,'6-Historique'!$B$2:$B$1997,$A3),""))</f>
        <v>45359</v>
      </c>
    </row>
    <row r="4" spans="1:25" ht="30" customHeight="1" x14ac:dyDescent="0.25">
      <c r="R4" s="74">
        <f>IF($A4="","",IFERROR(_xlfn.MAXIFS('6-Historique'!$D$2:$D$1997,'6-Historique'!$B$2:$B$1997,$A4),""))</f>
        <v>0</v>
      </c>
    </row>
    <row r="5" spans="1:25" ht="30" customHeight="1" x14ac:dyDescent="0.25">
      <c r="R5" s="81">
        <f>IF($A5="","",IFERROR(_xlfn.MAXIFS('6-Historique'!$D$2:$D$1997,'6-Historique'!$B$2:$B$1997,$A5),""))</f>
        <v>0</v>
      </c>
    </row>
    <row r="6" spans="1:25" ht="30" customHeight="1" x14ac:dyDescent="0.25">
      <c r="R6" s="74">
        <f>IF($A6="","",IFERROR(_xlfn.MAXIFS('6-Historique'!$D$2:$D$1997,'6-Historique'!$B$2:$B$1997,$A6),""))</f>
        <v>43724</v>
      </c>
      <c r="T6" s="74">
        <f>IF($A6="","",IFERROR(INDEX('4-VGP'!$A$2:$A$334,MATCH($A6,'4-VGP'!$N$2:$N$334,0)),""))</f>
        <v>45748</v>
      </c>
      <c r="W6" s="74">
        <f>IF($T6="","",EDATE($T6,'8-Param'!$Q$2))</f>
        <v>46113</v>
      </c>
    </row>
    <row r="7" spans="1:25" ht="30" customHeight="1" x14ac:dyDescent="0.25">
      <c r="R7" s="81">
        <f>IF($A7="","",IFERROR(_xlfn.MAXIFS('6-Historique'!$D$2:$D$1997,'6-Historique'!$B$2:$B$1997,$A7),""))</f>
        <v>45989</v>
      </c>
    </row>
    <row r="8" spans="1:25" ht="30" customHeight="1" x14ac:dyDescent="0.25">
      <c r="R8" s="74">
        <f>IF($A8="","",IFERROR(_xlfn.MAXIFS('6-Historique'!$D$2:$D$1997,'6-Historique'!$B$2:$B$1997,$A8),""))</f>
        <v>0</v>
      </c>
      <c r="T8" s="74">
        <f>IF($A8="","",IFERROR(INDEX('4-VGP'!$A$2:$A$334,MATCH($A8,'4-VGP'!$N$2:$N$334,0)),""))</f>
        <v>45748</v>
      </c>
      <c r="W8" s="74">
        <f>IF($T8="","",EDATE($T8,'8-Param'!$Q$2))</f>
        <v>46113</v>
      </c>
    </row>
    <row r="9" spans="1:25" ht="30" customHeight="1" x14ac:dyDescent="0.25">
      <c r="R9" s="81">
        <f>IF($A9="","",IFERROR(_xlfn.MAXIFS('6-Historique'!$D$2:$D$1997,'6-Historique'!$B$2:$B$1997,$A9),""))</f>
        <v>45989</v>
      </c>
    </row>
    <row r="10" spans="1:25" ht="30" customHeight="1" x14ac:dyDescent="0.25">
      <c r="R10" s="74">
        <f>IF($A10="","",IFERROR(_xlfn.MAXIFS('6-Historique'!$D$2:$D$1997,'6-Historique'!$B$2:$B$1997,$A10),""))</f>
        <v>45846</v>
      </c>
    </row>
    <row r="11" spans="1:25" ht="30" customHeight="1" x14ac:dyDescent="0.25">
      <c r="R11" s="81">
        <f>IF($A11="","",IFERROR(_xlfn.MAXIFS('6-Historique'!$D$2:$D$1997,'6-Historique'!$B$2:$B$1997,$A11),""))</f>
        <v>45758</v>
      </c>
    </row>
    <row r="12" spans="1:25" ht="30" customHeight="1" x14ac:dyDescent="0.25">
      <c r="R12" s="74">
        <f>IF($A12="","",IFERROR(_xlfn.MAXIFS('6-Historique'!$D$2:$D$1997,'6-Historique'!$B$2:$B$1997,$A12),""))</f>
        <v>45688</v>
      </c>
    </row>
    <row r="13" spans="1:25" ht="30" customHeight="1" x14ac:dyDescent="0.25">
      <c r="R13" s="81">
        <f>IF($A13="","",IFERROR(_xlfn.MAXIFS('6-Historique'!$D$2:$D$1997,'6-Historique'!$B$2:$B$1997,$A13),""))</f>
        <v>0</v>
      </c>
    </row>
    <row r="14" spans="1:25" ht="30" customHeight="1" x14ac:dyDescent="0.25">
      <c r="R14" s="74">
        <f>IF($A14="","",IFERROR(_xlfn.MAXIFS('6-Historique'!$D$2:$D$1997,'6-Historique'!$B$2:$B$1997,$A14),""))</f>
        <v>46230</v>
      </c>
      <c r="T14" s="74">
        <f>IF($A14="","",IFERROR(INDEX('4-VGP'!$A$2:$A$334,MATCH($A14,'4-VGP'!$N$2:$N$334,0)),""))</f>
        <v>46097</v>
      </c>
      <c r="W14" s="74">
        <f>IF($T14="","",EDATE($T14,'8-Param'!$Q$2))</f>
        <v>46462</v>
      </c>
    </row>
    <row r="15" spans="1:25" ht="30" customHeight="1" x14ac:dyDescent="0.25">
      <c r="R15" s="81">
        <f>IF($A15="","",IFERROR(_xlfn.MAXIFS('6-Historique'!$D$2:$D$1997,'6-Historique'!$B$2:$B$1997,$A15),""))</f>
        <v>0</v>
      </c>
    </row>
    <row r="16" spans="1:25" ht="30" customHeight="1" x14ac:dyDescent="0.25">
      <c r="R16" s="74">
        <f>IF($A16="","",IFERROR(_xlfn.MAXIFS('6-Historique'!$D$2:$D$1997,'6-Historique'!$B$2:$B$1997,$A16),""))</f>
        <v>46092</v>
      </c>
    </row>
    <row r="17" spans="1:25" ht="30" customHeight="1" x14ac:dyDescent="0.25">
      <c r="R17" s="81">
        <f>IF($A17="","",IFERROR(_xlfn.MAXIFS('6-Historique'!$D$2:$D$1997,'6-Historique'!$B$2:$B$1997,$A17),""))</f>
        <v>0</v>
      </c>
      <c r="T17" s="81">
        <f>IF($A17="","",IFERROR(INDEX('4-VGP'!$A$2:$A$334,MATCH($A17,'4-VGP'!$N$2:$N$334,0)),""))</f>
        <v>45729</v>
      </c>
      <c r="W17" s="81">
        <f>IF($T17="","",EDATE($T17,'8-Param'!$Q$2))</f>
        <v>46094</v>
      </c>
    </row>
    <row r="18" spans="1:25" ht="30" customHeight="1" x14ac:dyDescent="0.25">
      <c r="R18" s="74">
        <f>IF($A18="","",IFERROR(_xlfn.MAXIFS('6-Historique'!$D$2:$D$1997,'6-Historique'!$B$2:$B$1997,$A18),""))</f>
        <v>0</v>
      </c>
      <c r="T18" s="74">
        <f>IF($A18="","",IFERROR(INDEX('4-VGP'!$A$2:$A$334,MATCH($A18,'4-VGP'!$N$2:$N$334,0)),""))</f>
        <v>45729</v>
      </c>
      <c r="W18" s="74">
        <f>IF($T18="","",EDATE($T18,'8-Param'!$Q$2))</f>
        <v>46094</v>
      </c>
    </row>
    <row r="19" spans="1:25" ht="30" customHeight="1" x14ac:dyDescent="0.25">
      <c r="R19" s="81">
        <f>IF($A19="","",IFERROR(_xlfn.MAXIFS('6-Historique'!$D$2:$D$1997,'6-Historique'!$B$2:$B$1997,$A19),""))</f>
        <v>0</v>
      </c>
      <c r="T19" s="81">
        <f>IF($A19="","",IFERROR(INDEX('4-VGP'!$A$2:$A$334,MATCH($A19,'4-VGP'!$N$2:$N$334,0)),""))</f>
        <v>45729</v>
      </c>
      <c r="W19" s="81">
        <f>IF($T19="","",EDATE($T19,'8-Param'!$Q$2))</f>
        <v>46094</v>
      </c>
    </row>
    <row r="20" spans="1:25" ht="30" customHeight="1" x14ac:dyDescent="0.25">
      <c r="R20" s="74">
        <f>IF($A20="","",IFERROR(_xlfn.MAXIFS('6-Historique'!$D$2:$D$1997,'6-Historique'!$B$2:$B$1997,$A20),""))</f>
        <v>0</v>
      </c>
    </row>
    <row r="21" spans="1:25" ht="30" customHeight="1" x14ac:dyDescent="0.25">
      <c r="R21" s="81">
        <f>IF($A21="","",IFERROR(_xlfn.MAXIFS('6-Historique'!$D$2:$D$1997,'6-Historique'!$B$2:$B$1997,$A21),""))</f>
        <v>0</v>
      </c>
    </row>
    <row r="22" spans="1:25" ht="30" customHeight="1" x14ac:dyDescent="0.25">
      <c r="R22" s="74">
        <f>IF($A22="","",IFERROR(_xlfn.MAXIFS('6-Historique'!$D$2:$D$1997,'6-Historique'!$B$2:$B$1997,$A22),""))</f>
        <v>46022</v>
      </c>
      <c r="T22" s="74">
        <f>IF($A22="","",IFERROR(INDEX('4-VGP'!$A$2:$A$334,MATCH($A22,'4-VGP'!$N$2:$N$334,0)),""))</f>
        <v>45729</v>
      </c>
      <c r="W22" s="74">
        <f>IF($T22="","",EDATE($T22,'8-Param'!$Q$2))</f>
        <v>46094</v>
      </c>
    </row>
    <row r="23" spans="1:25" ht="30" customHeight="1" x14ac:dyDescent="0.25">
      <c r="R23" s="81">
        <f>IF($A23="","",IFERROR(_xlfn.MAXIFS('6-Historique'!$D$2:$D$1997,'6-Historique'!$B$2:$B$1997,$A23),""))</f>
        <v>45866</v>
      </c>
      <c r="T23" s="81">
        <f>IF($A23="","",IFERROR(INDEX('4-VGP'!$A$2:$A$334,MATCH($A23,'4-VGP'!$N$2:$N$334,0)),""))</f>
        <v>45729</v>
      </c>
      <c r="W23" s="81">
        <f>IF($T23="","",EDATE($T23,'8-Param'!$Q$2))</f>
        <v>46094</v>
      </c>
    </row>
    <row r="24" spans="1:25" ht="30" customHeight="1" x14ac:dyDescent="0.25">
      <c r="R24" s="74">
        <f>IF($A24="","",IFERROR(_xlfn.MAXIFS('6-Historique'!$D$2:$D$1997,'6-Historique'!$B$2:$B$1997,$A24),""))</f>
        <v>46195</v>
      </c>
      <c r="T24" s="74">
        <f>IF($A24="","",IFERROR(INDEX('4-VGP'!$A$2:$A$334,MATCH($A24,'4-VGP'!$N$2:$N$334,0)),""))</f>
        <v>45729</v>
      </c>
      <c r="W24" s="74">
        <f>IF($T24="","",EDATE($T24,'8-Param'!$Q$2))</f>
        <v>46094</v>
      </c>
    </row>
    <row r="25" spans="1:25" ht="30" customHeight="1" x14ac:dyDescent="0.25">
      <c r="R25" s="81">
        <f>IF($A25="","",IFERROR(_xlfn.MAXIFS('6-Historique'!$D$2:$D$1997,'6-Historique'!$B$2:$B$1997,$A25),""))</f>
        <v>0</v>
      </c>
      <c r="T25" s="81">
        <f>IF($A25="","",IFERROR(INDEX('4-VGP'!$A$2:$A$334,MATCH($A25,'4-VGP'!$N$2:$N$334,0)),""))</f>
        <v>45729</v>
      </c>
      <c r="W25" s="81">
        <f>IF($T25="","",EDATE($T25,'8-Param'!$Q$2))</f>
        <v>46094</v>
      </c>
    </row>
    <row r="26" spans="1:25" ht="30" customHeight="1" x14ac:dyDescent="0.25">
      <c r="R26" s="74">
        <f>IF($A26="","",IFERROR(_xlfn.MAXIFS('6-Historique'!$D$2:$D$1997,'6-Historique'!$B$2:$B$1997,$A26),""))</f>
        <v>0</v>
      </c>
    </row>
    <row r="27" spans="1:25" ht="30" customHeight="1" x14ac:dyDescent="0.25">
      <c r="R27" s="81">
        <f>IF($A27="","",IFERROR(_xlfn.MAXIFS('6-Historique'!$D$2:$D$1997,'6-Historique'!$B$2:$B$1997,$A27),""))</f>
        <v>0</v>
      </c>
    </row>
    <row r="28" spans="1:25" ht="30" customHeight="1" x14ac:dyDescent="0.25">
      <c r="R28" s="74">
        <f>IF($A28="","",IFERROR(_xlfn.MAXIFS('6-Historique'!$D$2:$D$1997,'6-Historique'!$B$2:$B$1997,$A28),""))</f>
        <v>0</v>
      </c>
    </row>
    <row r="29" spans="1:25" ht="30" customHeight="1" x14ac:dyDescent="0.25">
      <c r="R29" s="81">
        <f>IF($A29="","",IFERROR(_xlfn.MAXIFS('6-Historique'!$D$2:$D$1997,'6-Historique'!$B$2:$B$1997,$A29),""))</f>
        <v>0</v>
      </c>
    </row>
    <row r="30" spans="1:25" ht="30" customHeight="1" x14ac:dyDescent="0.25">
      <c r="R30" s="74">
        <f>IF($A30="","",IFERROR(_xlfn.MAXIFS('6-Historique'!$D$2:$D$1997,'6-Historique'!$B$2:$B$1997,$A30),""))</f>
        <v>0</v>
      </c>
    </row>
    <row r="31" spans="1:25" ht="30" customHeight="1" x14ac:dyDescent="0.25">
      <c r="R31" s="81">
        <f>IF($A31="","",IFERROR(_xlfn.MAXIFS('6-Historique'!$D$2:$D$1997,'6-Historique'!$B$2:$B$1997,$A31),""))</f>
        <v>0</v>
      </c>
    </row>
    <row r="32" spans="1:25" ht="30" customHeight="1" x14ac:dyDescent="0.25">
      <c r="R32" s="74">
        <f>IF($A32="","",IFERROR(_xlfn.MAXIFS('6-Historique'!$D$2:$D$1997,'6-Historique'!$B$2:$B$1997,$A32),""))</f>
        <v>0</v>
      </c>
    </row>
    <row r="33" spans="1:25" ht="30" customHeight="1" x14ac:dyDescent="0.25">
      <c r="R33" s="81">
        <f>IF($A33="","",IFERROR(_xlfn.MAXIFS('6-Historique'!$D$2:$D$1997,'6-Historique'!$B$2:$B$1997,$A33),""))</f>
        <v>0</v>
      </c>
    </row>
    <row r="34" spans="1:25" ht="30" customHeight="1" x14ac:dyDescent="0.25">
      <c r="R34" s="74">
        <f>IF($A34="","",IFERROR(_xlfn.MAXIFS('6-Historique'!$D$2:$D$1997,'6-Historique'!$B$2:$B$1997,$A34),""))</f>
        <v>0</v>
      </c>
    </row>
    <row r="35" spans="1:25" ht="30" customHeight="1" x14ac:dyDescent="0.25">
      <c r="R35" s="81">
        <f>IF($A35="","",IFERROR(_xlfn.MAXIFS('6-Historique'!$D$2:$D$1997,'6-Historique'!$B$2:$B$1997,$A35),""))</f>
        <v>0</v>
      </c>
    </row>
    <row r="36" spans="1:25" ht="30" customHeight="1" x14ac:dyDescent="0.25">
      <c r="R36" s="74">
        <f>IF($A36="","",IFERROR(_xlfn.MAXIFS('6-Historique'!$D$2:$D$1997,'6-Historique'!$B$2:$B$1997,$A36),""))</f>
        <v>0</v>
      </c>
      <c r="T36" s="74">
        <f>IF($A36="","",IFERROR(INDEX('4-VGP'!$A$2:$A$334,MATCH($A36,'4-VGP'!$N$2:$N$334,0)),""))</f>
        <v>45755</v>
      </c>
      <c r="W36" s="74">
        <f>IF($T36="","",EDATE($T36,'8-Param'!$Q$2))</f>
        <v>46120</v>
      </c>
    </row>
    <row r="37" spans="1:25" ht="30" customHeight="1" x14ac:dyDescent="0.25">
      <c r="R37" s="81">
        <f>IF($A37="","",IFERROR(_xlfn.MAXIFS('6-Historique'!$D$2:$D$1997,'6-Historique'!$B$2:$B$1997,$A37),""))</f>
        <v>0</v>
      </c>
    </row>
    <row r="38" spans="1:25" ht="30" customHeight="1" x14ac:dyDescent="0.25">
      <c r="R38" s="74">
        <f>IF($A38="","",IFERROR(_xlfn.MAXIFS('6-Historique'!$D$2:$D$1997,'6-Historique'!$B$2:$B$1997,$A38),""))</f>
        <v>0</v>
      </c>
    </row>
    <row r="39" spans="1:25" ht="30" customHeight="1" x14ac:dyDescent="0.25">
      <c r="R39" s="81">
        <f>IF($A39="","",IFERROR(_xlfn.MAXIFS('6-Historique'!$D$2:$D$1997,'6-Historique'!$B$2:$B$1997,$A39),""))</f>
        <v>0</v>
      </c>
    </row>
    <row r="40" spans="1:25" ht="30" customHeight="1" x14ac:dyDescent="0.25">
      <c r="R40" s="74">
        <f>IF($A40="","",IFERROR(_xlfn.MAXIFS('6-Historique'!$D$2:$D$1997,'6-Historique'!$B$2:$B$1997,$A40),""))</f>
        <v>0</v>
      </c>
    </row>
    <row r="41" spans="1:25" ht="30" customHeight="1" x14ac:dyDescent="0.25">
      <c r="R41" s="81">
        <f>IF($A41="","",IFERROR(_xlfn.MAXIFS('6-Historique'!$D$2:$D$1997,'6-Historique'!$B$2:$B$1997,$A41),""))</f>
        <v>0</v>
      </c>
    </row>
    <row r="42" spans="1:25" ht="30" customHeight="1" x14ac:dyDescent="0.25">
      <c r="R42" s="74">
        <f>IF($A42="","",IFERROR(_xlfn.MAXIFS('6-Historique'!$D$2:$D$1997,'6-Historique'!$B$2:$B$1997,$A42),""))</f>
        <v>0</v>
      </c>
    </row>
    <row r="43" spans="1:25" ht="30" customHeight="1" x14ac:dyDescent="0.25">
      <c r="R43" s="81">
        <f>IF($A43="","",IFERROR(_xlfn.MAXIFS('6-Historique'!$D$2:$D$1997,'6-Historique'!$B$2:$B$1997,$A43),""))</f>
        <v>0</v>
      </c>
    </row>
    <row r="44" spans="1:25" ht="30" customHeight="1" x14ac:dyDescent="0.25">
      <c r="R44" s="74">
        <f>IF($A44="","",IFERROR(_xlfn.MAXIFS('6-Historique'!$D$2:$D$1997,'6-Historique'!$B$2:$B$1997,$A44),""))</f>
        <v>0</v>
      </c>
    </row>
    <row r="45" spans="1:25" ht="30" customHeight="1" x14ac:dyDescent="0.25">
      <c r="R45" s="81">
        <f>IF($A45="","",IFERROR(_xlfn.MAXIFS('6-Historique'!$D$2:$D$1997,'6-Historique'!$B$2:$B$1997,$A45),""))</f>
        <v>0</v>
      </c>
      <c r="T45" s="81">
        <f>IF($A45="","",IFERROR(INDEX('4-VGP'!$A$2:$A$334,MATCH($A45,'4-VGP'!$N$2:$N$334,0)),""))</f>
        <v>46093</v>
      </c>
      <c r="W45" s="81">
        <f>IF($T45="","",EDATE($T45,'8-Param'!$Q$2))</f>
        <v>46458</v>
      </c>
    </row>
    <row r="46" spans="1:25" ht="30" customHeight="1" x14ac:dyDescent="0.25">
      <c r="R46" s="74">
        <f>IF($A46="","",IFERROR(_xlfn.MAXIFS('6-Historique'!$D$2:$D$1997,'6-Historique'!$B$2:$B$1997,$A46),""))</f>
        <v>0</v>
      </c>
      <c r="T46" s="74">
        <f>IF($A46="","",IFERROR(INDEX('4-VGP'!$A$2:$A$334,MATCH($A46,'4-VGP'!$N$2:$N$334,0)),""))</f>
        <v>45729</v>
      </c>
      <c r="W46" s="74">
        <f>IF($T46="","",EDATE($T46,'8-Param'!$Q$2))</f>
        <v>46094</v>
      </c>
    </row>
    <row r="47" spans="1:25" ht="30" customHeight="1" x14ac:dyDescent="0.25">
      <c r="R47" s="81">
        <f>IF($A47="","",IFERROR(_xlfn.MAXIFS('6-Historique'!$D$2:$D$1997,'6-Historique'!$B$2:$B$1997,$A47),""))</f>
        <v>0</v>
      </c>
    </row>
    <row r="48" spans="1:25" ht="30" customHeight="1" x14ac:dyDescent="0.25">
      <c r="R48" s="74">
        <f>IF($A48="","",IFERROR(_xlfn.MAXIFS('6-Historique'!$D$2:$D$1997,'6-Historique'!$B$2:$B$1997,$A48),""))</f>
        <v>0</v>
      </c>
    </row>
    <row r="49" spans="1:25" ht="30" customHeight="1" x14ac:dyDescent="0.25">
      <c r="R49" s="81">
        <f>IF($A49="","",IFERROR(_xlfn.MAXIFS('6-Historique'!$D$2:$D$1997,'6-Historique'!$B$2:$B$1997,$A49),""))</f>
        <v>0</v>
      </c>
      <c r="T49" s="81">
        <f>IF($A49="","",IFERROR(INDEX('4-VGP'!$A$2:$A$334,MATCH($A49,'4-VGP'!$N$2:$N$334,0)),""))</f>
        <v>46093</v>
      </c>
      <c r="W49" s="81">
        <f>IF($T49="","",EDATE($T49,'8-Param'!$Q$2))</f>
        <v>46458</v>
      </c>
    </row>
    <row r="50" spans="1:25" ht="30" customHeight="1" x14ac:dyDescent="0.25">
      <c r="R50" s="74">
        <f>IF($A50="","",IFERROR(_xlfn.MAXIFS('6-Historique'!$D$2:$D$1997,'6-Historique'!$B$2:$B$1997,$A50),""))</f>
        <v>0</v>
      </c>
      <c r="T50" s="74">
        <f>IF($A50="","",IFERROR(INDEX('4-VGP'!$A$2:$A$334,MATCH($A50,'4-VGP'!$N$2:$N$334,0)),""))</f>
        <v>46093</v>
      </c>
      <c r="W50" s="74">
        <f>IF($T50="","",EDATE($T50,'8-Param'!$Q$2))</f>
        <v>46458</v>
      </c>
    </row>
    <row r="51" spans="1:25" ht="30" customHeight="1" x14ac:dyDescent="0.25">
      <c r="R51" s="81">
        <f>IF($A51="","",IFERROR(_xlfn.MAXIFS('6-Historique'!$D$2:$D$1997,'6-Historique'!$B$2:$B$1997,$A51),""))</f>
        <v>0</v>
      </c>
      <c r="T51" s="81">
        <f>IF($A51="","",IFERROR(INDEX('4-VGP'!$A$2:$A$334,MATCH($A51,'4-VGP'!$N$2:$N$334,0)),""))</f>
        <v>45729</v>
      </c>
      <c r="W51" s="81">
        <f>IF($T51="","",EDATE($T51,'8-Param'!$Q$2))</f>
        <v>46094</v>
      </c>
    </row>
    <row r="52" spans="1:25" ht="30" customHeight="1" x14ac:dyDescent="0.25">
      <c r="R52" s="74">
        <f>IF($A52="","",IFERROR(_xlfn.MAXIFS('6-Historique'!$D$2:$D$1997,'6-Historique'!$B$2:$B$1997,$A52),""))</f>
        <v>0</v>
      </c>
      <c r="T52" s="74">
        <f>IF($A52="","",IFERROR(INDEX('4-VGP'!$A$2:$A$334,MATCH($A52,'4-VGP'!$N$2:$N$334,0)),""))</f>
        <v>45729</v>
      </c>
      <c r="W52" s="74">
        <f>IF($T52="","",EDATE($T52,'8-Param'!$Q$2))</f>
        <v>46094</v>
      </c>
    </row>
    <row r="53" spans="1:25" ht="30" customHeight="1" x14ac:dyDescent="0.25">
      <c r="R53" s="81">
        <f>IF($A53="","",IFERROR(_xlfn.MAXIFS('6-Historique'!$D$2:$D$1997,'6-Historique'!$B$2:$B$1997,$A53),""))</f>
        <v>0</v>
      </c>
      <c r="T53" s="81">
        <f>IF($A53="","",IFERROR(INDEX('4-VGP'!$A$2:$A$334,MATCH($A53,'4-VGP'!$N$2:$N$334,0)),""))</f>
        <v>45755</v>
      </c>
      <c r="W53" s="81">
        <f>IF($T53="","",EDATE($T53,'8-Param'!$Q$2))</f>
        <v>46120</v>
      </c>
    </row>
    <row r="54" spans="1:25" ht="30" customHeight="1" x14ac:dyDescent="0.25">
      <c r="R54" s="74">
        <f>IF($A54="","",IFERROR(_xlfn.MAXIFS('6-Historique'!$D$2:$D$1997,'6-Historique'!$B$2:$B$1997,$A54),""))</f>
        <v>0</v>
      </c>
      <c r="T54" s="74">
        <f>IF($A54="","",IFERROR(INDEX('4-VGP'!$A$2:$A$334,MATCH($A54,'4-VGP'!$N$2:$N$334,0)),""))</f>
        <v>45755</v>
      </c>
      <c r="W54" s="74">
        <f>IF($T54="","",EDATE($T54,'8-Param'!$Q$2))</f>
        <v>46120</v>
      </c>
    </row>
    <row r="55" spans="1:25" ht="30" customHeight="1" x14ac:dyDescent="0.25">
      <c r="R55" s="81">
        <f>IF($A55="","",IFERROR(_xlfn.MAXIFS('6-Historique'!$D$2:$D$1997,'6-Historique'!$B$2:$B$1997,$A55),""))</f>
        <v>0</v>
      </c>
      <c r="T55" s="81">
        <f>IF($A55="","",IFERROR(INDEX('4-VGP'!$A$2:$A$334,MATCH($A55,'4-VGP'!$N$2:$N$334,0)),""))</f>
        <v>46093</v>
      </c>
      <c r="W55" s="81">
        <f>IF($T55="","",EDATE($T55,'8-Param'!$Q$2))</f>
        <v>46458</v>
      </c>
    </row>
    <row r="56" spans="1:25" ht="30" customHeight="1" x14ac:dyDescent="0.25">
      <c r="R56" s="74">
        <f>IF($A56="","",IFERROR(_xlfn.MAXIFS('6-Historique'!$D$2:$D$1997,'6-Historique'!$B$2:$B$1997,$A56),""))</f>
        <v>0</v>
      </c>
      <c r="T56" s="74">
        <f>IF($A56="","",IFERROR(INDEX('4-VGP'!$A$2:$A$334,MATCH($A56,'4-VGP'!$N$2:$N$334,0)),""))</f>
        <v>46093</v>
      </c>
      <c r="W56" s="74">
        <f>IF($T56="","",EDATE($T56,'8-Param'!$Q$2))</f>
        <v>46458</v>
      </c>
    </row>
    <row r="57" spans="1:25" ht="30" customHeight="1" x14ac:dyDescent="0.25">
      <c r="R57" s="81">
        <f>IF($A57="","",IFERROR(_xlfn.MAXIFS('6-Historique'!$D$2:$D$1997,'6-Historique'!$B$2:$B$1997,$A57),""))</f>
        <v>0</v>
      </c>
      <c r="T57" s="81">
        <f>IF($A57="","",IFERROR(INDEX('4-VGP'!$A$2:$A$334,MATCH($A57,'4-VGP'!$N$2:$N$334,0)),""))</f>
        <v>46093</v>
      </c>
      <c r="W57" s="81">
        <f>IF($T57="","",EDATE($T57,'8-Param'!$Q$2))</f>
        <v>46458</v>
      </c>
    </row>
    <row r="58" spans="1:25" ht="30" customHeight="1" x14ac:dyDescent="0.25">
      <c r="R58" s="74">
        <f>IF($A58="","",IFERROR(_xlfn.MAXIFS('6-Historique'!$D$2:$D$1997,'6-Historique'!$B$2:$B$1997,$A58),""))</f>
        <v>0</v>
      </c>
      <c r="T58" s="74">
        <f>IF($A58="","",IFERROR(INDEX('4-VGP'!$A$2:$A$334,MATCH($A58,'4-VGP'!$N$2:$N$334,0)),""))</f>
        <v>46093</v>
      </c>
      <c r="W58" s="74">
        <f>IF($T58="","",EDATE($T58,'8-Param'!$Q$2))</f>
        <v>46458</v>
      </c>
    </row>
    <row r="59" spans="1:25" ht="30" customHeight="1" x14ac:dyDescent="0.25">
      <c r="R59" s="81">
        <f>IF($A59="","",IFERROR(_xlfn.MAXIFS('6-Historique'!$D$2:$D$1997,'6-Historique'!$B$2:$B$1997,$A59),""))</f>
        <v>0</v>
      </c>
    </row>
    <row r="60" spans="1:25" ht="30" customHeight="1" x14ac:dyDescent="0.25">
      <c r="R60" s="74">
        <f>IF($A60="","",IFERROR(_xlfn.MAXIFS('6-Historique'!$D$2:$D$1997,'6-Historique'!$B$2:$B$1997,$A60),""))</f>
        <v>0</v>
      </c>
    </row>
    <row r="61" spans="1:25" ht="30" customHeight="1" x14ac:dyDescent="0.25">
      <c r="R61" s="81">
        <f>IF($A61="","",IFERROR(_xlfn.MAXIFS('6-Historique'!$D$2:$D$1997,'6-Historique'!$B$2:$B$1997,$A61),""))</f>
        <v>46181</v>
      </c>
      <c r="T61" s="81">
        <f>IF($A61="","",IFERROR(INDEX('4-VGP'!$A$2:$A$334,MATCH($A61,'4-VGP'!$N$2:$N$334,0)),""))</f>
        <v>46093</v>
      </c>
      <c r="W61" s="81">
        <f>IF($T61="","",EDATE($T61,'8-Param'!$Q$2))</f>
        <v>46458</v>
      </c>
    </row>
    <row r="62" spans="1:25" ht="30" customHeight="1" x14ac:dyDescent="0.25">
      <c r="R62" s="74">
        <f>IF($A62="","",IFERROR(_xlfn.MAXIFS('6-Historique'!$D$2:$D$1997,'6-Historique'!$B$2:$B$1997,$A62),""))</f>
        <v>45866</v>
      </c>
      <c r="T62" s="74">
        <f>IF($A62="","",IFERROR(INDEX('4-VGP'!$A$2:$A$334,MATCH($A62,'4-VGP'!$N$2:$N$334,0)),""))</f>
        <v>45729</v>
      </c>
      <c r="W62" s="74">
        <f>IF($T62="","",EDATE($T62,'8-Param'!$Q$2))</f>
        <v>46094</v>
      </c>
    </row>
    <row r="63" spans="1:25" ht="30" customHeight="1" x14ac:dyDescent="0.25">
      <c r="R63" s="81">
        <f>IF($A63="","",IFERROR(_xlfn.MAXIFS('6-Historique'!$D$2:$D$1997,'6-Historique'!$B$2:$B$1997,$A63),""))</f>
        <v>45695</v>
      </c>
      <c r="T63" s="81">
        <f>IF($A63="","",IFERROR(INDEX('4-VGP'!$A$2:$A$334,MATCH($A63,'4-VGP'!$N$2:$N$334,0)),""))</f>
        <v>46093</v>
      </c>
      <c r="W63" s="81">
        <f>IF($T63="","",EDATE($T63,'8-Param'!$Q$2))</f>
        <v>46458</v>
      </c>
    </row>
    <row r="64" spans="1:25" ht="30" customHeight="1" x14ac:dyDescent="0.25">
      <c r="R64" s="74">
        <f>IF($A64="","",IFERROR(_xlfn.MAXIFS('6-Historique'!$D$2:$D$1997,'6-Historique'!$B$2:$B$1997,$A64),""))</f>
        <v>46181</v>
      </c>
      <c r="T64" s="74">
        <f>IF($A64="","",IFERROR(INDEX('4-VGP'!$A$2:$A$334,MATCH($A64,'4-VGP'!$N$2:$N$334,0)),""))</f>
        <v>46093</v>
      </c>
      <c r="W64" s="74">
        <f>IF($T64="","",EDATE($T64,'8-Param'!$Q$2))</f>
        <v>46458</v>
      </c>
    </row>
    <row r="65" spans="1:25" ht="30" customHeight="1" x14ac:dyDescent="0.25">
      <c r="R65" s="81">
        <f>IF($A65="","",IFERROR(_xlfn.MAXIFS('6-Historique'!$D$2:$D$1997,'6-Historique'!$B$2:$B$1997,$A65),""))</f>
        <v>44992</v>
      </c>
      <c r="T65" s="81">
        <f>IF($A65="","",IFERROR(INDEX('4-VGP'!$A$2:$A$334,MATCH($A65,'4-VGP'!$N$2:$N$334,0)),""))</f>
        <v>45729</v>
      </c>
      <c r="W65" s="81">
        <f>IF($T65="","",EDATE($T65,'8-Param'!$Q$2))</f>
        <v>46094</v>
      </c>
    </row>
    <row r="66" spans="1:25" ht="30" customHeight="1" x14ac:dyDescent="0.25">
      <c r="R66" s="74">
        <f>IF($A66="","",IFERROR(_xlfn.MAXIFS('6-Historique'!$D$2:$D$1997,'6-Historique'!$B$2:$B$1997,$A66),""))</f>
        <v>0</v>
      </c>
    </row>
    <row r="67" spans="1:25" ht="30" customHeight="1" x14ac:dyDescent="0.25">
      <c r="R67" s="81">
        <f>IF($A67="","",IFERROR(_xlfn.MAXIFS('6-Historique'!$D$2:$D$1997,'6-Historique'!$B$2:$B$1997,$A67),""))</f>
        <v>0</v>
      </c>
    </row>
    <row r="68" spans="1:25" ht="30" customHeight="1" x14ac:dyDescent="0.25">
      <c r="R68" s="74">
        <f>IF($A68="","",IFERROR(_xlfn.MAXIFS('6-Historique'!$D$2:$D$1997,'6-Historique'!$B$2:$B$1997,$A68),""))</f>
        <v>0</v>
      </c>
    </row>
    <row r="69" spans="1:25" ht="30" customHeight="1" x14ac:dyDescent="0.25">
      <c r="R69" s="81">
        <f>IF($A69="","",IFERROR(_xlfn.MAXIFS('6-Historique'!$D$2:$D$1997,'6-Historique'!$B$2:$B$1997,$A69),""))</f>
        <v>0</v>
      </c>
      <c r="T69" s="81">
        <f>IF($A69="","",IFERROR(INDEX('4-VGP'!$A$2:$A$334,MATCH($A69,'4-VGP'!$N$2:$N$334,0)),""))</f>
        <v>46092</v>
      </c>
      <c r="W69" s="81">
        <f>IF($T69="","",EDATE($T69,'8-Param'!$Q$2))</f>
        <v>46457</v>
      </c>
    </row>
    <row r="70" spans="1:25" ht="30" customHeight="1" x14ac:dyDescent="0.25">
      <c r="R70" s="74">
        <f>IF($A70="","",IFERROR(_xlfn.MAXIFS('6-Historique'!$D$2:$D$1997,'6-Historique'!$B$2:$B$1997,$A70),""))</f>
        <v>46093</v>
      </c>
      <c r="T70" s="74">
        <f>IF($A70="","",IFERROR(INDEX('4-VGP'!$A$2:$A$334,MATCH($A70,'4-VGP'!$N$2:$N$334,0)),""))</f>
        <v>46092</v>
      </c>
      <c r="W70" s="74">
        <f>IF($T70="","",EDATE($T70,'8-Param'!$Q$2))</f>
        <v>46457</v>
      </c>
    </row>
    <row r="71" spans="1:25" ht="30" customHeight="1" x14ac:dyDescent="0.25">
      <c r="R71" s="81">
        <f>IF($A71="","",IFERROR(_xlfn.MAXIFS('6-Historique'!$D$2:$D$1997,'6-Historique'!$B$2:$B$1997,$A71),""))</f>
        <v>0</v>
      </c>
    </row>
    <row r="72" spans="1:25" ht="30" customHeight="1" x14ac:dyDescent="0.25">
      <c r="R72" s="74">
        <f>IF($A72="","",IFERROR(_xlfn.MAXIFS('6-Historique'!$D$2:$D$1997,'6-Historique'!$B$2:$B$1997,$A72),""))</f>
        <v>0</v>
      </c>
    </row>
    <row r="73" spans="1:25" ht="30" customHeight="1" x14ac:dyDescent="0.25">
      <c r="R73" s="81">
        <f>IF($A73="","",IFERROR(_xlfn.MAXIFS('6-Historique'!$D$2:$D$1997,'6-Historique'!$B$2:$B$1997,$A73),""))</f>
        <v>0</v>
      </c>
    </row>
    <row r="74" spans="1:25" ht="30" customHeight="1" x14ac:dyDescent="0.25">
      <c r="R74" s="74">
        <f>IF($A74="","",IFERROR(_xlfn.MAXIFS('6-Historique'!$D$2:$D$1997,'6-Historique'!$B$2:$B$1997,$A74),""))</f>
        <v>0</v>
      </c>
    </row>
    <row r="75" spans="1:25" ht="30" customHeight="1" x14ac:dyDescent="0.25">
      <c r="R75" s="81">
        <f>IF($A75="","",IFERROR(_xlfn.MAXIFS('6-Historique'!$D$2:$D$1997,'6-Historique'!$B$2:$B$1997,$A75),""))</f>
        <v>0</v>
      </c>
    </row>
    <row r="76" spans="1:25" ht="30" customHeight="1" x14ac:dyDescent="0.25">
      <c r="R76" s="74">
        <f>IF($A76="","",IFERROR(_xlfn.MAXIFS('6-Historique'!$D$2:$D$1997,'6-Historique'!$B$2:$B$1997,$A76),""))</f>
        <v>0</v>
      </c>
    </row>
    <row r="77" spans="1:25" ht="30" customHeight="1" x14ac:dyDescent="0.25">
      <c r="R77" s="81">
        <f>IF($A77="","",IFERROR(_xlfn.MAXIFS('6-Historique'!$D$2:$D$1997,'6-Historique'!$B$2:$B$1997,$A77),""))</f>
        <v>0</v>
      </c>
      <c r="T77" s="81">
        <f>IF($A77="","",IFERROR(INDEX('4-VGP'!$A$2:$A$334,MATCH($A77,'4-VGP'!$N$2:$N$334,0)),""))</f>
        <v>44476</v>
      </c>
      <c r="W77" s="81">
        <f>IF($T77="","",EDATE($T77,'8-Param'!$Q$2))</f>
        <v>44841</v>
      </c>
    </row>
    <row r="78" spans="1:25" ht="30" customHeight="1" x14ac:dyDescent="0.25">
      <c r="R78" s="74">
        <f>IF($A78="","",IFERROR(_xlfn.MAXIFS('6-Historique'!$D$2:$D$1997,'6-Historique'!$B$2:$B$1997,$A78),""))</f>
        <v>0</v>
      </c>
      <c r="T78" s="74">
        <f>IF($A78="","",IFERROR(INDEX('4-VGP'!$A$2:$A$334,MATCH($A78,'4-VGP'!$N$2:$N$334,0)),""))</f>
        <v>44476</v>
      </c>
      <c r="W78" s="74">
        <f>IF($T78="","",EDATE($T78,'8-Param'!$Q$2))</f>
        <v>44841</v>
      </c>
    </row>
    <row r="79" spans="1:25" ht="30" customHeight="1" x14ac:dyDescent="0.25">
      <c r="R79" s="81">
        <f>IF($A79="","",IFERROR(_xlfn.MAXIFS('6-Historique'!$D$2:$D$1997,'6-Historique'!$B$2:$B$1997,$A79),""))</f>
        <v>0</v>
      </c>
      <c r="T79" s="81">
        <f>IF($A79="","",IFERROR(INDEX('4-VGP'!$A$2:$A$334,MATCH($A79,'4-VGP'!$N$2:$N$334,0)),""))</f>
        <v>44476</v>
      </c>
      <c r="W79" s="81">
        <f>IF($T79="","",EDATE($T79,'8-Param'!$Q$2))</f>
        <v>44841</v>
      </c>
    </row>
    <row r="80" spans="1:25" ht="30" customHeight="1" x14ac:dyDescent="0.25">
      <c r="R80" s="74">
        <f>IF($A80="","",IFERROR(_xlfn.MAXIFS('6-Historique'!$D$2:$D$1997,'6-Historique'!$B$2:$B$1997,$A80),""))</f>
        <v>45278</v>
      </c>
    </row>
    <row r="81" spans="1:25" ht="30" customHeight="1" x14ac:dyDescent="0.25">
      <c r="R81" s="81">
        <f>IF($A81="","",IFERROR(_xlfn.MAXIFS('6-Historique'!$D$2:$D$1997,'6-Historique'!$B$2:$B$1997,$A81),""))</f>
        <v>0</v>
      </c>
    </row>
    <row r="82" spans="1:25" ht="30" customHeight="1" x14ac:dyDescent="0.25">
      <c r="R82" s="74">
        <f>IF($A82="","",IFERROR(_xlfn.MAXIFS('6-Historique'!$D$2:$D$1997,'6-Historique'!$B$2:$B$1997,$A82),""))</f>
        <v>46253</v>
      </c>
    </row>
    <row r="83" spans="1:25" ht="30" customHeight="1" x14ac:dyDescent="0.25">
      <c r="R83" s="81">
        <f>IF($A83="","",IFERROR(_xlfn.MAXIFS('6-Historique'!$D$2:$D$1997,'6-Historique'!$B$2:$B$1997,$A83),""))</f>
        <v>0</v>
      </c>
    </row>
    <row r="84" spans="1:25" ht="30" customHeight="1" x14ac:dyDescent="0.25">
      <c r="R84" s="74">
        <f>IF($A84="","",IFERROR(_xlfn.MAXIFS('6-Historique'!$D$2:$D$1997,'6-Historique'!$B$2:$B$1997,$A84),""))</f>
        <v>0</v>
      </c>
    </row>
    <row r="85" spans="1:25" ht="30" customHeight="1" x14ac:dyDescent="0.25">
      <c r="R85" s="81">
        <f>IF($A85="","",IFERROR(_xlfn.MAXIFS('6-Historique'!$D$2:$D$1997,'6-Historique'!$B$2:$B$1997,$A85),""))</f>
        <v>0</v>
      </c>
      <c r="T85" s="81">
        <f>IF($A85="","",IFERROR(INDEX('4-VGP'!$A$2:$A$334,MATCH($A85,'4-VGP'!$N$2:$N$334,0)),""))</f>
        <v>46210</v>
      </c>
      <c r="W85" s="81">
        <f>IF($T85="","",EDATE($T85,'8-Param'!$Q$2))</f>
        <v>46575</v>
      </c>
    </row>
    <row r="86" spans="1:25" ht="30" customHeight="1" x14ac:dyDescent="0.25">
      <c r="R86" s="74">
        <f>IF($A86="","",IFERROR(_xlfn.MAXIFS('6-Historique'!$D$2:$D$1997,'6-Historique'!$B$2:$B$1997,$A86),""))</f>
        <v>45936</v>
      </c>
    </row>
    <row r="87" spans="1:25" ht="30" customHeight="1" x14ac:dyDescent="0.25">
      <c r="R87" s="81">
        <f>IF($A87="","",IFERROR(_xlfn.MAXIFS('6-Historique'!$D$2:$D$1997,'6-Historique'!$B$2:$B$1997,$A87),""))</f>
        <v>46220</v>
      </c>
      <c r="T87" s="81">
        <f>IF($A87="","",IFERROR(INDEX('4-VGP'!$A$2:$A$334,MATCH($A87,'4-VGP'!$N$2:$N$334,0)),""))</f>
        <v>46210</v>
      </c>
      <c r="W87" s="81">
        <f>IF($T87="","",EDATE($T87,'8-Param'!$Q$2))</f>
        <v>46575</v>
      </c>
    </row>
    <row r="88" spans="1:25" ht="30" customHeight="1" x14ac:dyDescent="0.25">
      <c r="R88" s="74">
        <f>IF($A88="","",IFERROR(_xlfn.MAXIFS('6-Historique'!$D$2:$D$1997,'6-Historique'!$B$2:$B$1997,$A88),""))</f>
        <v>46253</v>
      </c>
      <c r="T88" s="74">
        <f>IF($A88="","",IFERROR(INDEX('4-VGP'!$A$2:$A$334,MATCH($A88,'4-VGP'!$N$2:$N$334,0)),""))</f>
        <v>46210</v>
      </c>
      <c r="W88" s="74">
        <f>IF($T88="","",EDATE($T88,'8-Param'!$Q$2))</f>
        <v>46575</v>
      </c>
    </row>
    <row r="89" spans="1:25" ht="30" customHeight="1" x14ac:dyDescent="0.25">
      <c r="R89" s="81">
        <f>IF($A89="","",IFERROR(_xlfn.MAXIFS('6-Historique'!$D$2:$D$1997,'6-Historique'!$B$2:$B$1997,$A89),""))</f>
        <v>46079</v>
      </c>
      <c r="T89" s="81">
        <f>IF($A89="","",IFERROR(INDEX('4-VGP'!$A$2:$A$334,MATCH($A89,'4-VGP'!$N$2:$N$334,0)),""))</f>
        <v>46210</v>
      </c>
      <c r="W89" s="81">
        <f>IF($T89="","",EDATE($T89,'8-Param'!$Q$2))</f>
        <v>46575</v>
      </c>
    </row>
    <row r="90" spans="1:25" ht="30" customHeight="1" x14ac:dyDescent="0.25">
      <c r="R90" s="74">
        <f>IF($A90="","",IFERROR(_xlfn.MAXIFS('6-Historique'!$D$2:$D$1997,'6-Historique'!$B$2:$B$1997,$A90),""))</f>
        <v>0</v>
      </c>
      <c r="T90" s="74">
        <f>IF($A90="","",IFERROR(INDEX('4-VGP'!$A$2:$A$334,MATCH($A90,'4-VGP'!$N$2:$N$334,0)),""))</f>
        <v>46210</v>
      </c>
      <c r="W90" s="74">
        <f>IF($T90="","",EDATE($T90,'8-Param'!$Q$2))</f>
        <v>46575</v>
      </c>
    </row>
    <row r="91" spans="1:25" ht="30" customHeight="1" x14ac:dyDescent="0.25">
      <c r="R91" s="81">
        <f>IF($A91="","",IFERROR(_xlfn.MAXIFS('6-Historique'!$D$2:$D$1997,'6-Historique'!$B$2:$B$1997,$A91),""))</f>
        <v>0</v>
      </c>
      <c r="T91" s="81">
        <f>IF($A91="","",IFERROR(INDEX('4-VGP'!$A$2:$A$334,MATCH($A91,'4-VGP'!$N$2:$N$334,0)),""))</f>
        <v>46210</v>
      </c>
      <c r="W91" s="81">
        <f>IF($T91="","",EDATE($T91,'8-Param'!$Q$2))</f>
        <v>46575</v>
      </c>
    </row>
    <row r="92" spans="1:25" ht="30" customHeight="1" x14ac:dyDescent="0.25">
      <c r="R92" s="74">
        <f>IF($A92="","",IFERROR(_xlfn.MAXIFS('6-Historique'!$D$2:$D$1997,'6-Historique'!$B$2:$B$1997,$A92),""))</f>
        <v>0</v>
      </c>
      <c r="T92" s="74">
        <f>IF($A92="","",IFERROR(INDEX('4-VGP'!$A$2:$A$334,MATCH($A92,'4-VGP'!$N$2:$N$334,0)),""))</f>
        <v>46210</v>
      </c>
      <c r="W92" s="74">
        <f>IF($T92="","",EDATE($T92,'8-Param'!$Q$2))</f>
        <v>46575</v>
      </c>
    </row>
    <row r="93" spans="1:25" ht="30" customHeight="1" x14ac:dyDescent="0.25">
      <c r="R93" s="81">
        <f>IF($A93="","",IFERROR(_xlfn.MAXIFS('6-Historique'!$D$2:$D$1997,'6-Historique'!$B$2:$B$1997,$A93),""))</f>
        <v>0</v>
      </c>
      <c r="T93" s="81">
        <f>IF($A93="","",IFERROR(INDEX('4-VGP'!$A$2:$A$334,MATCH($A93,'4-VGP'!$N$2:$N$334,0)),""))</f>
        <v>46210</v>
      </c>
      <c r="W93" s="81">
        <f>IF($T93="","",EDATE($T93,'8-Param'!$Q$2))</f>
        <v>46575</v>
      </c>
    </row>
    <row r="94" spans="1:25" ht="30" customHeight="1" x14ac:dyDescent="0.25">
      <c r="R94" s="74">
        <f>IF($A94="","",IFERROR(_xlfn.MAXIFS('6-Historique'!$D$2:$D$1997,'6-Historique'!$B$2:$B$1997,$A94),""))</f>
        <v>0</v>
      </c>
      <c r="T94" s="74">
        <f>IF($A94="","",IFERROR(INDEX('4-VGP'!$A$2:$A$334,MATCH($A94,'4-VGP'!$N$2:$N$334,0)),""))</f>
        <v>46210</v>
      </c>
      <c r="W94" s="74">
        <f>IF($T94="","",EDATE($T94,'8-Param'!$Q$2))</f>
        <v>46575</v>
      </c>
    </row>
    <row r="95" spans="1:25" ht="30" customHeight="1" x14ac:dyDescent="0.25">
      <c r="R95" s="81">
        <f>IF($A95="","",IFERROR(_xlfn.MAXIFS('6-Historique'!$D$2:$D$1997,'6-Historique'!$B$2:$B$1997,$A95),""))</f>
        <v>0</v>
      </c>
      <c r="T95" s="81">
        <f>IF($A95="","",IFERROR(INDEX('4-VGP'!$A$2:$A$334,MATCH($A95,'4-VGP'!$N$2:$N$334,0)),""))</f>
        <v>46210</v>
      </c>
      <c r="W95" s="81">
        <f>IF($T95="","",EDATE($T95,'8-Param'!$Q$2))</f>
        <v>46575</v>
      </c>
    </row>
    <row r="96" spans="1:25" ht="30" customHeight="1" x14ac:dyDescent="0.25">
      <c r="R96" s="74">
        <f>IF($A96="","",IFERROR(_xlfn.MAXIFS('6-Historique'!$D$2:$D$1997,'6-Historique'!$B$2:$B$1997,$A96),""))</f>
        <v>0</v>
      </c>
      <c r="T96" s="74">
        <f>IF($A96="","",IFERROR(INDEX('4-VGP'!$A$2:$A$334,MATCH($A96,'4-VGP'!$N$2:$N$334,0)),""))</f>
        <v>46210</v>
      </c>
      <c r="W96" s="74">
        <f>IF($T96="","",EDATE($T96,'8-Param'!$Q$2))</f>
        <v>46575</v>
      </c>
    </row>
    <row r="97" spans="1:25" ht="30" customHeight="1" x14ac:dyDescent="0.25">
      <c r="R97" s="81">
        <f>IF($A97="","",IFERROR(_xlfn.MAXIFS('6-Historique'!$D$2:$D$1997,'6-Historique'!$B$2:$B$1997,$A97),""))</f>
        <v>0</v>
      </c>
    </row>
    <row r="98" spans="1:25" ht="30" customHeight="1" x14ac:dyDescent="0.25">
      <c r="R98" s="74">
        <f>IF($A98="","",IFERROR(_xlfn.MAXIFS('6-Historique'!$D$2:$D$1997,'6-Historique'!$B$2:$B$1997,$A98),""))</f>
        <v>0</v>
      </c>
    </row>
    <row r="99" spans="1:25" ht="30" customHeight="1" x14ac:dyDescent="0.25">
      <c r="R99" s="81">
        <f>IF($A99="","",IFERROR(_xlfn.MAXIFS('6-Historique'!$D$2:$D$1997,'6-Historique'!$B$2:$B$1997,$A99),""))</f>
        <v>0</v>
      </c>
    </row>
    <row r="100" spans="1:25" ht="30" customHeight="1" x14ac:dyDescent="0.25">
      <c r="R100" s="74">
        <f>IF($A100="","",IFERROR(_xlfn.MAXIFS('6-Historique'!$D$2:$D$1997,'6-Historique'!$B$2:$B$1997,$A100),""))</f>
        <v>0</v>
      </c>
      <c r="T100" s="74">
        <f>IF($A100="","",IFERROR(INDEX('4-VGP'!$A$2:$A$334,MATCH($A100,'4-VGP'!$N$2:$N$334,0)),""))</f>
        <v>46092</v>
      </c>
      <c r="W100" s="74">
        <f>IF($T100="","",EDATE($T100,'8-Param'!$Q$2))</f>
        <v>46457</v>
      </c>
    </row>
    <row r="101" spans="1:25" ht="30" customHeight="1" x14ac:dyDescent="0.25">
      <c r="R101" s="81">
        <f>IF($A101="","",IFERROR(_xlfn.MAXIFS('6-Historique'!$D$2:$D$1997,'6-Historique'!$B$2:$B$1997,$A101),""))</f>
        <v>0</v>
      </c>
    </row>
    <row r="102" spans="1:25" ht="30" customHeight="1" x14ac:dyDescent="0.25">
      <c r="R102" s="74">
        <f>IF($A102="","",IFERROR(_xlfn.MAXIFS('6-Historique'!$D$2:$D$1997,'6-Historique'!$B$2:$B$1997,$A102),""))</f>
        <v>46112</v>
      </c>
    </row>
    <row r="103" spans="1:25" ht="30" customHeight="1" x14ac:dyDescent="0.25">
      <c r="R103" s="81">
        <f>IF($A103="","",IFERROR(_xlfn.MAXIFS('6-Historique'!$D$2:$D$1997,'6-Historique'!$B$2:$B$1997,$A103),""))</f>
        <v>45027</v>
      </c>
      <c r="T103" s="81">
        <f>IF($A103="","",IFERROR(INDEX('4-VGP'!$A$2:$A$334,MATCH($A103,'4-VGP'!$N$2:$N$334,0)),""))</f>
        <v>46092</v>
      </c>
      <c r="W103" s="81">
        <f>IF($T103="","",EDATE($T103,'8-Param'!$Q$2))</f>
        <v>46457</v>
      </c>
    </row>
    <row r="104" spans="1:25" ht="30" customHeight="1" x14ac:dyDescent="0.25">
      <c r="R104" s="74">
        <f>IF($A104="","",IFERROR(_xlfn.MAXIFS('6-Historique'!$D$2:$D$1997,'6-Historique'!$B$2:$B$1997,$A104),""))</f>
        <v>45180</v>
      </c>
      <c r="T104" s="74">
        <f>IF($A104="","",IFERROR(INDEX('4-VGP'!$A$2:$A$334,MATCH($A104,'4-VGP'!$N$2:$N$334,0)),""))</f>
        <v>46092</v>
      </c>
      <c r="W104" s="74">
        <f>IF($T104="","",EDATE($T104,'8-Param'!$Q$2))</f>
        <v>46457</v>
      </c>
    </row>
    <row r="105" spans="1:25" ht="30" customHeight="1" x14ac:dyDescent="0.25">
      <c r="R105" s="81">
        <f>IF($A105="","",IFERROR(_xlfn.MAXIFS('6-Historique'!$D$2:$D$1997,'6-Historique'!$B$2:$B$1997,$A105),""))</f>
        <v>0</v>
      </c>
      <c r="T105" s="81">
        <f>IF($A105="","",IFERROR(INDEX('4-VGP'!$A$2:$A$334,MATCH($A105,'4-VGP'!$N$2:$N$334,0)),""))</f>
        <v>46092</v>
      </c>
      <c r="W105" s="81">
        <f>IF($T105="","",EDATE($T105,'8-Param'!$Q$2))</f>
        <v>46457</v>
      </c>
    </row>
    <row r="106" spans="1:25" ht="30" customHeight="1" x14ac:dyDescent="0.25">
      <c r="R106" s="74">
        <f>IF($A106="","",IFERROR(_xlfn.MAXIFS('6-Historique'!$D$2:$D$1997,'6-Historique'!$B$2:$B$1997,$A106),""))</f>
        <v>0</v>
      </c>
      <c r="T106" s="74">
        <f>IF($A106="","",IFERROR(INDEX('4-VGP'!$A$2:$A$334,MATCH($A106,'4-VGP'!$N$2:$N$334,0)),""))</f>
        <v>46092</v>
      </c>
      <c r="W106" s="74">
        <f>IF($T106="","",EDATE($T106,'8-Param'!$Q$2))</f>
        <v>46457</v>
      </c>
    </row>
    <row r="107" spans="1:25" ht="30" customHeight="1" x14ac:dyDescent="0.25">
      <c r="R107" s="81">
        <f>IF($A107="","",IFERROR(_xlfn.MAXIFS('6-Historique'!$D$2:$D$1997,'6-Historique'!$B$2:$B$1997,$A107),""))</f>
        <v>0</v>
      </c>
      <c r="T107" s="81">
        <f>IF($A107="","",IFERROR(INDEX('4-VGP'!$A$2:$A$334,MATCH($A107,'4-VGP'!$N$2:$N$334,0)),""))</f>
        <v>46092</v>
      </c>
      <c r="W107" s="81">
        <f>IF($T107="","",EDATE($T107,'8-Param'!$Q$2))</f>
        <v>46457</v>
      </c>
    </row>
    <row r="108" spans="1:25" ht="30" customHeight="1" x14ac:dyDescent="0.25">
      <c r="R108" s="74">
        <f>IF($A108="","",IFERROR(_xlfn.MAXIFS('6-Historique'!$D$2:$D$1997,'6-Historique'!$B$2:$B$1997,$A108),""))</f>
        <v>0</v>
      </c>
      <c r="T108" s="74">
        <f>IF($A108="","",IFERROR(INDEX('4-VGP'!$A$2:$A$334,MATCH($A108,'4-VGP'!$N$2:$N$334,0)),""))</f>
        <v>46092</v>
      </c>
      <c r="W108" s="74">
        <f>IF($T108="","",EDATE($T108,'8-Param'!$Q$2))</f>
        <v>46457</v>
      </c>
    </row>
    <row r="109" spans="1:25" ht="30" customHeight="1" x14ac:dyDescent="0.25">
      <c r="R109" s="81">
        <f>IF($A109="","",IFERROR(_xlfn.MAXIFS('6-Historique'!$D$2:$D$1997,'6-Historique'!$B$2:$B$1997,$A109),""))</f>
        <v>46093</v>
      </c>
      <c r="T109" s="81">
        <f>IF($A109="","",IFERROR(INDEX('4-VGP'!$A$2:$A$334,MATCH($A109,'4-VGP'!$N$2:$N$334,0)),""))</f>
        <v>46092</v>
      </c>
      <c r="W109" s="81">
        <f>IF($T109="","",EDATE($T109,'8-Param'!$Q$2))</f>
        <v>46457</v>
      </c>
    </row>
    <row r="110" spans="1:25" ht="30" customHeight="1" x14ac:dyDescent="0.25">
      <c r="R110" s="74">
        <f>IF($A110="","",IFERROR(_xlfn.MAXIFS('6-Historique'!$D$2:$D$1997,'6-Historique'!$B$2:$B$1997,$A110),""))</f>
        <v>45131</v>
      </c>
      <c r="T110" s="74">
        <f>IF($A110="","",IFERROR(INDEX('4-VGP'!$A$2:$A$334,MATCH($A110,'4-VGP'!$N$2:$N$334,0)),""))</f>
        <v>46092</v>
      </c>
      <c r="W110" s="74">
        <f>IF($T110="","",EDATE($T110,'8-Param'!$Q$2))</f>
        <v>46457</v>
      </c>
    </row>
    <row r="111" spans="1:25" ht="30" customHeight="1" x14ac:dyDescent="0.25">
      <c r="R111" s="81">
        <f>IF($A111="","",IFERROR(_xlfn.MAXIFS('6-Historique'!$D$2:$D$1997,'6-Historique'!$B$2:$B$1997,$A111),""))</f>
        <v>45245</v>
      </c>
    </row>
    <row r="112" spans="1:25" ht="30" customHeight="1" x14ac:dyDescent="0.25">
      <c r="R112" s="74">
        <f>IF($A112="","",IFERROR(_xlfn.MAXIFS('6-Historique'!$D$2:$D$1997,'6-Historique'!$B$2:$B$1997,$A112),""))</f>
        <v>45267</v>
      </c>
    </row>
    <row r="113" spans="1:25" ht="30" customHeight="1" x14ac:dyDescent="0.25">
      <c r="R113" s="81">
        <f>IF($A113="","",IFERROR(_xlfn.MAXIFS('6-Historique'!$D$2:$D$1997,'6-Historique'!$B$2:$B$1997,$A113),""))</f>
        <v>0</v>
      </c>
      <c r="T113" s="81">
        <f>IF($A113="","",IFERROR(INDEX('4-VGP'!$A$2:$A$334,MATCH($A113,'4-VGP'!$N$2:$N$334,0)),""))</f>
        <v>44214</v>
      </c>
      <c r="W113" s="81">
        <f>IF($T113="","",EDATE($T113,'8-Param'!$Q$2))</f>
        <v>44579</v>
      </c>
    </row>
    <row r="114" spans="1:25" ht="30" customHeight="1" x14ac:dyDescent="0.25">
      <c r="R114" s="74">
        <f>IF($A114="","",IFERROR(_xlfn.MAXIFS('6-Historique'!$D$2:$D$1997,'6-Historique'!$B$2:$B$1997,$A114),""))</f>
        <v>45364</v>
      </c>
      <c r="T114" s="74">
        <f>IF($A114="","",IFERROR(INDEX('4-VGP'!$A$2:$A$334,MATCH($A114,'4-VGP'!$N$2:$N$334,0)),""))</f>
        <v>44214</v>
      </c>
      <c r="W114" s="74">
        <f>IF($T114="","",EDATE($T114,'8-Param'!$Q$2))</f>
        <v>44579</v>
      </c>
    </row>
    <row r="115" spans="1:25" ht="30" customHeight="1" x14ac:dyDescent="0.25">
      <c r="R115" s="81">
        <f>IF($A115="","",IFERROR(_xlfn.MAXIFS('6-Historique'!$D$2:$D$1997,'6-Historique'!$B$2:$B$1997,$A115),""))</f>
        <v>0</v>
      </c>
      <c r="T115" s="81">
        <f>IF($A115="","",IFERROR(INDEX('4-VGP'!$A$2:$A$334,MATCH($A115,'4-VGP'!$N$2:$N$334,0)),""))</f>
        <v>44214</v>
      </c>
      <c r="W115" s="81">
        <f>IF($T115="","",EDATE($T115,'8-Param'!$Q$2))</f>
        <v>44579</v>
      </c>
    </row>
    <row r="116" spans="1:25" ht="30" customHeight="1" x14ac:dyDescent="0.25">
      <c r="R116" s="74">
        <f>IF($A116="","",IFERROR(_xlfn.MAXIFS('6-Historique'!$D$2:$D$1997,'6-Historique'!$B$2:$B$1997,$A116),""))</f>
        <v>45364</v>
      </c>
      <c r="T116" s="74">
        <f>IF($A116="","",IFERROR(INDEX('4-VGP'!$A$2:$A$334,MATCH($A116,'4-VGP'!$N$2:$N$334,0)),""))</f>
        <v>44214</v>
      </c>
      <c r="W116" s="74">
        <f>IF($T116="","",EDATE($T116,'8-Param'!$Q$2))</f>
        <v>44579</v>
      </c>
    </row>
    <row r="117" spans="1:25" ht="30" customHeight="1" x14ac:dyDescent="0.25">
      <c r="R117" s="81">
        <f>IF($A117="","",IFERROR(_xlfn.MAXIFS('6-Historique'!$D$2:$D$1997,'6-Historique'!$B$2:$B$1997,$A117),""))</f>
        <v>0</v>
      </c>
    </row>
    <row r="118" spans="1:25" ht="30" customHeight="1" x14ac:dyDescent="0.25">
      <c r="R118" s="74">
        <f>IF($A118="","",IFERROR(_xlfn.MAXIFS('6-Historique'!$D$2:$D$1997,'6-Historique'!$B$2:$B$1997,$A118),""))</f>
        <v>0</v>
      </c>
    </row>
    <row r="119" spans="1:25" ht="30" customHeight="1" x14ac:dyDescent="0.25">
      <c r="R119" s="81">
        <f>IF($A119="","",IFERROR(_xlfn.MAXIFS('6-Historique'!$D$2:$D$1997,'6-Historique'!$B$2:$B$1997,$A119),""))</f>
        <v>0</v>
      </c>
    </row>
    <row r="120" spans="1:25" ht="30" customHeight="1" x14ac:dyDescent="0.25">
      <c r="R120" s="74">
        <f>IF($A120="","",IFERROR(_xlfn.MAXIFS('6-Historique'!$D$2:$D$1997,'6-Historique'!$B$2:$B$1997,$A120),""))</f>
        <v>0</v>
      </c>
      <c r="T120" s="74">
        <f>IF($A120="","",IFERROR(INDEX('4-VGP'!$A$2:$A$334,MATCH($A120,'4-VGP'!$N$2:$N$334,0)),""))</f>
        <v>45814</v>
      </c>
      <c r="W120" s="74">
        <f>IF($T120="","",EDATE($T120,'8-Param'!$Q$2))</f>
        <v>46179</v>
      </c>
    </row>
    <row r="121" spans="1:25" ht="30" customHeight="1" x14ac:dyDescent="0.25">
      <c r="R121" s="81">
        <f>IF($A121="","",IFERROR(_xlfn.MAXIFS('6-Historique'!$D$2:$D$1997,'6-Historique'!$B$2:$B$1997,$A121),""))</f>
        <v>0</v>
      </c>
      <c r="T121" s="81">
        <f>IF($A121="","",IFERROR(INDEX('4-VGP'!$A$2:$A$334,MATCH($A121,'4-VGP'!$N$2:$N$334,0)),""))</f>
        <v>46154</v>
      </c>
      <c r="W121" s="81">
        <f>IF($T121="","",EDATE($T121,'8-Param'!$Q$2))</f>
        <v>46519</v>
      </c>
    </row>
    <row r="122" spans="1:25" ht="30" customHeight="1" x14ac:dyDescent="0.25">
      <c r="R122" s="74">
        <f>IF($A122="","",IFERROR(_xlfn.MAXIFS('6-Historique'!$D$2:$D$1997,'6-Historique'!$B$2:$B$1997,$A122),""))</f>
        <v>0</v>
      </c>
    </row>
    <row r="123" spans="1:25" ht="30" customHeight="1" x14ac:dyDescent="0.25">
      <c r="R123" s="81">
        <f>IF($A123="","",IFERROR(_xlfn.MAXIFS('6-Historique'!$D$2:$D$1997,'6-Historique'!$B$2:$B$1997,$A123),""))</f>
        <v>45238</v>
      </c>
    </row>
    <row r="124" spans="1:25" ht="30" customHeight="1" x14ac:dyDescent="0.25">
      <c r="R124" s="74">
        <f>IF($A124="","",IFERROR(_xlfn.MAXIFS('6-Historique'!$D$2:$D$1997,'6-Historique'!$B$2:$B$1997,$A124),""))</f>
        <v>0</v>
      </c>
      <c r="T124" s="74">
        <f>IF($A124="","",IFERROR(INDEX('4-VGP'!$A$2:$A$334,MATCH($A124,'4-VGP'!$N$2:$N$334,0)),""))</f>
        <v>46154</v>
      </c>
      <c r="W124" s="74">
        <f>IF($T124="","",EDATE($T124,'8-Param'!$Q$2))</f>
        <v>46519</v>
      </c>
    </row>
    <row r="125" spans="1:25" ht="30" customHeight="1" x14ac:dyDescent="0.25">
      <c r="R125" s="81">
        <f>IF($A125="","",IFERROR(_xlfn.MAXIFS('6-Historique'!$D$2:$D$1997,'6-Historique'!$B$2:$B$1997,$A125),""))</f>
        <v>46154</v>
      </c>
    </row>
    <row r="126" spans="1:25" ht="30" customHeight="1" x14ac:dyDescent="0.25">
      <c r="R126" s="74">
        <f>IF($A126="","",IFERROR(_xlfn.MAXIFS('6-Historique'!$D$2:$D$1997,'6-Historique'!$B$2:$B$1997,$A126),""))</f>
        <v>46154</v>
      </c>
      <c r="T126" s="74">
        <f>IF($A126="","",IFERROR(INDEX('4-VGP'!$A$2:$A$334,MATCH($A126,'4-VGP'!$N$2:$N$334,0)),""))</f>
        <v>46154</v>
      </c>
      <c r="W126" s="74">
        <f>IF($T126="","",EDATE($T126,'8-Param'!$Q$2))</f>
        <v>46519</v>
      </c>
    </row>
    <row r="127" spans="1:25" ht="30" customHeight="1" x14ac:dyDescent="0.25">
      <c r="R127" s="81">
        <f>IF($A127="","",IFERROR(_xlfn.MAXIFS('6-Historique'!$D$2:$D$1997,'6-Historique'!$B$2:$B$1997,$A127),""))</f>
        <v>44994</v>
      </c>
      <c r="T127" s="81">
        <f>IF($A127="","",IFERROR(INDEX('4-VGP'!$A$2:$A$334,MATCH($A127,'4-VGP'!$N$2:$N$334,0)),""))</f>
        <v>45814</v>
      </c>
      <c r="W127" s="81">
        <f>IF($T127="","",EDATE($T127,'8-Param'!$Q$2))</f>
        <v>46179</v>
      </c>
    </row>
    <row r="128" spans="1:25" ht="30" customHeight="1" x14ac:dyDescent="0.25">
      <c r="R128" s="74">
        <f>IF($A128="","",IFERROR(_xlfn.MAXIFS('6-Historique'!$D$2:$D$1997,'6-Historique'!$B$2:$B$1997,$A128),""))</f>
        <v>46241</v>
      </c>
      <c r="T128" s="74">
        <f>IF($A128="","",IFERROR(INDEX('4-VGP'!$A$2:$A$334,MATCH($A128,'4-VGP'!$N$2:$N$334,0)),""))</f>
        <v>46154</v>
      </c>
      <c r="W128" s="74">
        <f>IF($T128="","",EDATE($T128,'8-Param'!$Q$2))</f>
        <v>46519</v>
      </c>
    </row>
    <row r="129" spans="1:25" ht="30" customHeight="1" x14ac:dyDescent="0.25">
      <c r="R129" s="81">
        <f>IF($A129="","",IFERROR(_xlfn.MAXIFS('6-Historique'!$D$2:$D$1997,'6-Historique'!$B$2:$B$1997,$A129),""))</f>
        <v>46223</v>
      </c>
      <c r="T129" s="81">
        <f>IF($A129="","",IFERROR(INDEX('4-VGP'!$A$2:$A$334,MATCH($A129,'4-VGP'!$N$2:$N$334,0)),""))</f>
        <v>46154</v>
      </c>
      <c r="W129" s="81">
        <f>IF($T129="","",EDATE($T129,'8-Param'!$Q$2))</f>
        <v>46519</v>
      </c>
    </row>
    <row r="130" spans="1:25" ht="30" customHeight="1" x14ac:dyDescent="0.25">
      <c r="R130" s="74">
        <f>IF($A130="","",IFERROR(_xlfn.MAXIFS('6-Historique'!$D$2:$D$1997,'6-Historique'!$B$2:$B$1997,$A130),""))</f>
        <v>0</v>
      </c>
    </row>
    <row r="131" spans="1:25" ht="30" customHeight="1" x14ac:dyDescent="0.25">
      <c r="R131" s="81">
        <f>IF($A131="","",IFERROR(_xlfn.MAXIFS('6-Historique'!$D$2:$D$1997,'6-Historique'!$B$2:$B$1997,$A131),""))</f>
        <v>0</v>
      </c>
      <c r="T131" s="81">
        <f>IF($A131="","",IFERROR(INDEX('4-VGP'!$A$2:$A$334,MATCH($A131,'4-VGP'!$N$2:$N$334,0)),""))</f>
        <v>46111</v>
      </c>
      <c r="W131" s="81">
        <f>IF($T131="","",EDATE($T131,'8-Param'!$Q$2))</f>
        <v>46476</v>
      </c>
    </row>
    <row r="132" spans="1:25" ht="30" customHeight="1" x14ac:dyDescent="0.25">
      <c r="R132" s="74">
        <f>IF($A132="","",IFERROR(_xlfn.MAXIFS('6-Historique'!$D$2:$D$1997,'6-Historique'!$B$2:$B$1997,$A132),""))</f>
        <v>0</v>
      </c>
      <c r="T132" s="74">
        <f>IF($A132="","",IFERROR(INDEX('4-VGP'!$A$2:$A$334,MATCH($A132,'4-VGP'!$N$2:$N$334,0)),""))</f>
        <v>46111</v>
      </c>
      <c r="W132" s="74">
        <f>IF($T132="","",EDATE($T132,'8-Param'!$Q$2))</f>
        <v>46476</v>
      </c>
    </row>
    <row r="133" spans="1:25" ht="30" customHeight="1" x14ac:dyDescent="0.25">
      <c r="R133" s="81">
        <f>IF($A133="","",IFERROR(_xlfn.MAXIFS('6-Historique'!$D$2:$D$1997,'6-Historique'!$B$2:$B$1997,$A133),""))</f>
        <v>0</v>
      </c>
      <c r="T133" s="81">
        <f>IF($A133="","",IFERROR(INDEX('4-VGP'!$A$2:$A$334,MATCH($A133,'4-VGP'!$N$2:$N$334,0)),""))</f>
        <v>46111</v>
      </c>
      <c r="W133" s="81">
        <f>IF($T133="","",EDATE($T133,'8-Param'!$Q$2))</f>
        <v>46476</v>
      </c>
    </row>
    <row r="134" spans="1:25" ht="30" customHeight="1" x14ac:dyDescent="0.25">
      <c r="R134" s="74">
        <f>IF($A134="","",IFERROR(_xlfn.MAXIFS('6-Historique'!$D$2:$D$1997,'6-Historique'!$B$2:$B$1997,$A134),""))</f>
        <v>0</v>
      </c>
      <c r="T134" s="74">
        <f>IF($A134="","",IFERROR(INDEX('4-VGP'!$A$2:$A$334,MATCH($A134,'4-VGP'!$N$2:$N$334,0)),""))</f>
        <v>46111</v>
      </c>
      <c r="W134" s="74">
        <f>IF($T134="","",EDATE($T134,'8-Param'!$Q$2))</f>
        <v>46476</v>
      </c>
    </row>
    <row r="135" spans="1:25" ht="30" customHeight="1" x14ac:dyDescent="0.25">
      <c r="R135" s="81">
        <f>IF($A135="","",IFERROR(_xlfn.MAXIFS('6-Historique'!$D$2:$D$1997,'6-Historique'!$B$2:$B$1997,$A135),""))</f>
        <v>46111</v>
      </c>
      <c r="T135" s="81">
        <f>IF($A135="","",IFERROR(INDEX('4-VGP'!$A$2:$A$334,MATCH($A135,'4-VGP'!$N$2:$N$334,0)),""))</f>
        <v>46111</v>
      </c>
      <c r="W135" s="81">
        <f>IF($T135="","",EDATE($T135,'8-Param'!$Q$2))</f>
        <v>46476</v>
      </c>
    </row>
    <row r="136" spans="1:25" ht="30" customHeight="1" x14ac:dyDescent="0.25">
      <c r="R136" s="74">
        <f>IF($A136="","",IFERROR(_xlfn.MAXIFS('6-Historique'!$D$2:$D$1997,'6-Historique'!$B$2:$B$1997,$A136),""))</f>
        <v>0</v>
      </c>
      <c r="T136" s="74">
        <f>IF($A136="","",IFERROR(INDEX('4-VGP'!$A$2:$A$334,MATCH($A136,'4-VGP'!$N$2:$N$334,0)),""))</f>
        <v>46093</v>
      </c>
      <c r="W136" s="74">
        <f>IF($T136="","",EDATE($T136,'8-Param'!$Q$2))</f>
        <v>46458</v>
      </c>
    </row>
    <row r="137" spans="1:25" ht="30" customHeight="1" x14ac:dyDescent="0.25">
      <c r="R137" s="81">
        <f>IF($A137="","",IFERROR(_xlfn.MAXIFS('6-Historique'!$D$2:$D$1997,'6-Historique'!$B$2:$B$1997,$A137),""))</f>
        <v>44985</v>
      </c>
      <c r="T137" s="81">
        <f>IF($A137="","",IFERROR(INDEX('4-VGP'!$A$2:$A$334,MATCH($A137,'4-VGP'!$N$2:$N$334,0)),""))</f>
        <v>46093</v>
      </c>
      <c r="W137" s="81">
        <f>IF($T137="","",EDATE($T137,'8-Param'!$Q$2))</f>
        <v>46458</v>
      </c>
    </row>
    <row r="138" spans="1:25" ht="30" customHeight="1" x14ac:dyDescent="0.25">
      <c r="R138" s="74">
        <f>IF($A138="","",IFERROR(_xlfn.MAXIFS('6-Historique'!$D$2:$D$1997,'6-Historique'!$B$2:$B$1997,$A138),""))</f>
        <v>0</v>
      </c>
      <c r="T138" s="74">
        <f>IF($A138="","",IFERROR(INDEX('4-VGP'!$A$2:$A$334,MATCH($A138,'4-VGP'!$N$2:$N$334,0)),""))</f>
        <v>46093</v>
      </c>
      <c r="W138" s="74">
        <f>IF($T138="","",EDATE($T138,'8-Param'!$Q$2))</f>
        <v>46458</v>
      </c>
    </row>
    <row r="139" spans="1:25" ht="30" customHeight="1" x14ac:dyDescent="0.25">
      <c r="R139" s="81">
        <f>IF($A139="","",IFERROR(_xlfn.MAXIFS('6-Historique'!$D$2:$D$1997,'6-Historique'!$B$2:$B$1997,$A139),""))</f>
        <v>46093</v>
      </c>
    </row>
    <row r="140" spans="1:25" ht="30" customHeight="1" x14ac:dyDescent="0.25">
      <c r="R140" s="74">
        <f>IF($A140="","",IFERROR(_xlfn.MAXIFS('6-Historique'!$D$2:$D$1997,'6-Historique'!$B$2:$B$1997,$A140),""))</f>
        <v>0</v>
      </c>
      <c r="T140" s="74">
        <f>IF($A140="","",IFERROR(INDEX('4-VGP'!$A$2:$A$334,MATCH($A140,'4-VGP'!$N$2:$N$334,0)),""))</f>
        <v>46093</v>
      </c>
      <c r="W140" s="74">
        <f>IF($T140="","",EDATE($T140,'8-Param'!$Q$2))</f>
        <v>46458</v>
      </c>
    </row>
    <row r="141" spans="1:25" ht="30" customHeight="1" x14ac:dyDescent="0.25">
      <c r="R141" s="81">
        <f>IF($A141="","",IFERROR(_xlfn.MAXIFS('6-Historique'!$D$2:$D$1997,'6-Historique'!$B$2:$B$1997,$A141),""))</f>
        <v>0</v>
      </c>
    </row>
    <row r="142" spans="1:25" ht="30" customHeight="1" x14ac:dyDescent="0.25">
      <c r="R142" s="74">
        <f>IF($A142="","",IFERROR(_xlfn.MAXIFS('6-Historique'!$D$2:$D$1997,'6-Historique'!$B$2:$B$1997,$A142),""))</f>
        <v>0</v>
      </c>
      <c r="T142" s="74">
        <f>IF($A142="","",IFERROR(INDEX('4-VGP'!$A$2:$A$334,MATCH($A142,'4-VGP'!$N$2:$N$334,0)),""))</f>
        <v>46093</v>
      </c>
      <c r="W142" s="74">
        <f>IF($T142="","",EDATE($T142,'8-Param'!$Q$2))</f>
        <v>46458</v>
      </c>
    </row>
    <row r="143" spans="1:25" ht="30" customHeight="1" x14ac:dyDescent="0.25">
      <c r="R143" s="81">
        <f>IF($A143="","",IFERROR(_xlfn.MAXIFS('6-Historique'!$D$2:$D$1997,'6-Historique'!$B$2:$B$1997,$A143),""))</f>
        <v>0</v>
      </c>
    </row>
    <row r="144" spans="1:25" ht="30" customHeight="1" x14ac:dyDescent="0.25">
      <c r="R144" s="74">
        <f>IF($A144="","",IFERROR(_xlfn.MAXIFS('6-Historique'!$D$2:$D$1997,'6-Historique'!$B$2:$B$1997,$A144),""))</f>
        <v>46092</v>
      </c>
    </row>
    <row r="145" spans="1:25" ht="30" customHeight="1" x14ac:dyDescent="0.25">
      <c r="R145" s="81">
        <f>IF($A145="","",IFERROR(_xlfn.MAXIFS('6-Historique'!$D$2:$D$1997,'6-Historique'!$B$2:$B$1997,$A145),""))</f>
        <v>0</v>
      </c>
    </row>
    <row r="146" spans="1:25" ht="30" customHeight="1" x14ac:dyDescent="0.25">
      <c r="R146" s="74">
        <f>IF($A146="","",IFERROR(_xlfn.MAXIFS('6-Historique'!$D$2:$D$1997,'6-Historique'!$B$2:$B$1997,$A146),""))</f>
        <v>45757</v>
      </c>
      <c r="T146" s="74">
        <f>IF($A146="","",IFERROR(INDEX('4-VGP'!$A$2:$A$334,MATCH($A146,'4-VGP'!$N$2:$N$334,0)),""))</f>
        <v>45498</v>
      </c>
      <c r="W146" s="74">
        <f>IF($T146="","",EDATE($T146,'8-Param'!$Q$2))</f>
        <v>45863</v>
      </c>
    </row>
    <row r="147" spans="1:25" ht="30" customHeight="1" x14ac:dyDescent="0.25">
      <c r="R147" s="81">
        <f>IF($A147="","",IFERROR(_xlfn.MAXIFS('6-Historique'!$D$2:$D$1997,'6-Historique'!$B$2:$B$1997,$A147),""))</f>
        <v>0</v>
      </c>
      <c r="T147" s="81">
        <f>IF($A147="","",IFERROR(INDEX('4-VGP'!$A$2:$A$334,MATCH($A147,'4-VGP'!$N$2:$N$334,0)),""))</f>
        <v>46210</v>
      </c>
      <c r="W147" s="81">
        <f>IF($T147="","",EDATE($T147,'8-Param'!$Q$2))</f>
        <v>46575</v>
      </c>
    </row>
    <row r="148" spans="1:25" ht="30" customHeight="1" x14ac:dyDescent="0.25">
      <c r="R148" s="74">
        <f>IF($A148="","",IFERROR(_xlfn.MAXIFS('6-Historique'!$D$2:$D$1997,'6-Historique'!$B$2:$B$1997,$A148),""))</f>
        <v>45908</v>
      </c>
    </row>
    <row r="149" spans="1:25" ht="30" customHeight="1" x14ac:dyDescent="0.25">
      <c r="R149" s="81">
        <f>IF($A149="","",IFERROR(_xlfn.MAXIFS('6-Historique'!$D$2:$D$1997,'6-Historique'!$B$2:$B$1997,$A149),""))</f>
        <v>45534</v>
      </c>
      <c r="T149" s="81">
        <f>IF($A149="","",IFERROR(INDEX('4-VGP'!$A$2:$A$334,MATCH($A149,'4-VGP'!$N$2:$N$334,0)),""))</f>
        <v>44685</v>
      </c>
      <c r="W149" s="81">
        <f>IF($T149="","",EDATE($T149,'8-Param'!$Q$2))</f>
        <v>45050</v>
      </c>
    </row>
    <row r="150" spans="1:25" ht="30" customHeight="1" x14ac:dyDescent="0.25">
      <c r="R150" s="74">
        <f>IF($A150="","",IFERROR(_xlfn.MAXIFS('6-Historique'!$D$2:$D$1997,'6-Historique'!$B$2:$B$1997,$A150),""))</f>
        <v>45908</v>
      </c>
    </row>
    <row r="151" spans="1:25" ht="30" customHeight="1" x14ac:dyDescent="0.25">
      <c r="R151" s="81">
        <f>IF($A151="","",IFERROR(_xlfn.MAXIFS('6-Historique'!$D$2:$D$1997,'6-Historique'!$B$2:$B$1997,$A151),""))</f>
        <v>45534</v>
      </c>
      <c r="T151" s="81">
        <f>IF($A151="","",IFERROR(INDEX('4-VGP'!$A$2:$A$334,MATCH($A151,'4-VGP'!$N$2:$N$334,0)),""))</f>
        <v>45498</v>
      </c>
      <c r="W151" s="81">
        <f>IF($T151="","",EDATE($T151,'8-Param'!$Q$2))</f>
        <v>45863</v>
      </c>
    </row>
    <row r="152" spans="1:25" ht="30" customHeight="1" x14ac:dyDescent="0.25">
      <c r="R152" s="74">
        <f>IF($A152="","",IFERROR(_xlfn.MAXIFS('6-Historique'!$D$2:$D$1997,'6-Historique'!$B$2:$B$1997,$A152),""))</f>
        <v>45973</v>
      </c>
    </row>
    <row r="153" spans="1:25" ht="30" customHeight="1" x14ac:dyDescent="0.25">
      <c r="R153" s="81">
        <f>IF($A153="","",IFERROR(_xlfn.MAXIFS('6-Historique'!$D$2:$D$1997,'6-Historique'!$B$2:$B$1997,$A153),""))</f>
        <v>0</v>
      </c>
      <c r="T153" s="81">
        <f>IF($A153="","",IFERROR(INDEX('4-VGP'!$A$2:$A$334,MATCH($A153,'4-VGP'!$N$2:$N$334,0)),""))</f>
        <v>44375</v>
      </c>
      <c r="W153" s="81">
        <f>IF($T153="","",EDATE($T153,'8-Param'!$Q$2))</f>
        <v>44740</v>
      </c>
    </row>
    <row r="154" spans="1:25" ht="30" customHeight="1" x14ac:dyDescent="0.25">
      <c r="R154" s="74">
        <f>IF($A154="","",IFERROR(_xlfn.MAXIFS('6-Historique'!$D$2:$D$1997,'6-Historique'!$B$2:$B$1997,$A154),""))</f>
        <v>45352</v>
      </c>
    </row>
    <row r="155" spans="1:25" ht="30" customHeight="1" x14ac:dyDescent="0.25">
      <c r="R155" s="81">
        <f>IF($A155="","",IFERROR(_xlfn.MAXIFS('6-Historique'!$D$2:$D$1997,'6-Historique'!$B$2:$B$1997,$A155),""))</f>
        <v>45271</v>
      </c>
      <c r="T155" s="81">
        <f>IF($A155="","",IFERROR(INDEX('4-VGP'!$A$2:$A$334,MATCH($A155,'4-VGP'!$N$2:$N$334,0)),""))</f>
        <v>44375</v>
      </c>
      <c r="W155" s="81">
        <f>IF($T155="","",EDATE($T155,'8-Param'!$Q$2))</f>
        <v>44740</v>
      </c>
    </row>
    <row r="156" spans="1:25" ht="30" customHeight="1" x14ac:dyDescent="0.25">
      <c r="R156" s="74">
        <f>IF($A156="","",IFERROR(_xlfn.MAXIFS('6-Historique'!$D$2:$D$1997,'6-Historique'!$B$2:$B$1997,$A156),""))</f>
        <v>0</v>
      </c>
      <c r="T156" s="74">
        <f>IF($A156="","",IFERROR(INDEX('4-VGP'!$A$2:$A$334,MATCH($A156,'4-VGP'!$N$2:$N$334,0)),""))</f>
        <v>44375</v>
      </c>
      <c r="W156" s="74">
        <f>IF($T156="","",EDATE($T156,'8-Param'!$Q$2))</f>
        <v>44740</v>
      </c>
    </row>
    <row r="157" spans="1:25" ht="30" customHeight="1" x14ac:dyDescent="0.25">
      <c r="R157" s="81">
        <f>IF($A157="","",IFERROR(_xlfn.MAXIFS('6-Historique'!$D$2:$D$1997,'6-Historique'!$B$2:$B$1997,$A157),""))</f>
        <v>44858</v>
      </c>
      <c r="T157" s="81">
        <f>IF($A157="","",IFERROR(INDEX('4-VGP'!$A$2:$A$334,MATCH($A157,'4-VGP'!$N$2:$N$334,0)),""))</f>
        <v>44375</v>
      </c>
      <c r="W157" s="81">
        <f>IF($T157="","",EDATE($T157,'8-Param'!$Q$2))</f>
        <v>44740</v>
      </c>
    </row>
    <row r="158" spans="1:25" ht="30" customHeight="1" x14ac:dyDescent="0.25">
      <c r="R158" s="74">
        <f>IF($A158="","",IFERROR(_xlfn.MAXIFS('6-Historique'!$D$2:$D$1997,'6-Historique'!$B$2:$B$1997,$A158),""))</f>
        <v>0</v>
      </c>
      <c r="T158" s="74">
        <f>IF($A158="","",IFERROR(INDEX('4-VGP'!$A$2:$A$334,MATCH($A158,'4-VGP'!$N$2:$N$334,0)),""))</f>
        <v>44375</v>
      </c>
      <c r="W158" s="74">
        <f>IF($T158="","",EDATE($T158,'8-Param'!$Q$2))</f>
        <v>44740</v>
      </c>
    </row>
    <row r="159" spans="1:25" ht="30" customHeight="1" x14ac:dyDescent="0.25">
      <c r="R159" s="81">
        <f>IF($A159="","",IFERROR(_xlfn.MAXIFS('6-Historique'!$D$2:$D$1997,'6-Historique'!$B$2:$B$1997,$A159),""))</f>
        <v>0</v>
      </c>
      <c r="T159" s="81">
        <f>IF($A159="","",IFERROR(INDEX('4-VGP'!$A$2:$A$334,MATCH($A159,'4-VGP'!$N$2:$N$334,0)),""))</f>
        <v>44375</v>
      </c>
      <c r="W159" s="81">
        <f>IF($T159="","",EDATE($T159,'8-Param'!$Q$2))</f>
        <v>44740</v>
      </c>
    </row>
    <row r="160" spans="1:25" ht="30" customHeight="1" x14ac:dyDescent="0.25">
      <c r="R160" s="74">
        <f>IF($A160="","",IFERROR(_xlfn.MAXIFS('6-Historique'!$D$2:$D$1997,'6-Historique'!$B$2:$B$1997,$A160),""))</f>
        <v>0</v>
      </c>
    </row>
    <row r="161" spans="1:25" ht="30" customHeight="1" x14ac:dyDescent="0.25">
      <c r="R161" s="81">
        <f>IF($A161="","",IFERROR(_xlfn.MAXIFS('6-Historique'!$D$2:$D$1997,'6-Historique'!$B$2:$B$1997,$A161),""))</f>
        <v>0</v>
      </c>
    </row>
    <row r="162" spans="1:25" ht="30" customHeight="1" x14ac:dyDescent="0.25">
      <c r="R162" s="74">
        <f>IF($A162="","",IFERROR(_xlfn.MAXIFS('6-Historique'!$D$2:$D$1997,'6-Historique'!$B$2:$B$1997,$A162),""))</f>
        <v>0</v>
      </c>
    </row>
    <row r="163" spans="1:25" ht="30" customHeight="1" x14ac:dyDescent="0.25">
      <c r="R163" s="81">
        <f>IF($A163="","",IFERROR(_xlfn.MAXIFS('6-Historique'!$D$2:$D$1997,'6-Historique'!$B$2:$B$1997,$A163),""))</f>
        <v>45245</v>
      </c>
      <c r="T163" s="81">
        <f>IF($A163="","",IFERROR(INDEX('4-VGP'!$A$2:$A$334,MATCH($A163,'4-VGP'!$N$2:$N$334,0)),""))</f>
        <v>44399</v>
      </c>
      <c r="W163" s="81">
        <f>IF($T163="","",EDATE($T163,'8-Param'!$Q$2))</f>
        <v>44764</v>
      </c>
    </row>
    <row r="164" spans="1:25" ht="30" customHeight="1" x14ac:dyDescent="0.25">
      <c r="R164" s="74">
        <f>IF($A164="","",IFERROR(_xlfn.MAXIFS('6-Historique'!$D$2:$D$1997,'6-Historique'!$B$2:$B$1997,$A164),""))</f>
        <v>0</v>
      </c>
    </row>
    <row r="165" spans="1:25" ht="30" customHeight="1" x14ac:dyDescent="0.25">
      <c r="R165" s="81">
        <f>IF($A165="","",IFERROR(_xlfn.MAXIFS('6-Historique'!$D$2:$D$1997,'6-Historique'!$B$2:$B$1997,$A165),""))</f>
        <v>0</v>
      </c>
    </row>
    <row r="166" spans="1:25" ht="30" customHeight="1" x14ac:dyDescent="0.25">
      <c r="R166" s="74">
        <f>IF($A166="","",IFERROR(_xlfn.MAXIFS('6-Historique'!$D$2:$D$1997,'6-Historique'!$B$2:$B$1997,$A166),""))</f>
        <v>0</v>
      </c>
    </row>
    <row r="167" spans="1:25" ht="30" customHeight="1" x14ac:dyDescent="0.25">
      <c r="R167" s="81">
        <f>IF($A167="","",IFERROR(_xlfn.MAXIFS('6-Historique'!$D$2:$D$1997,'6-Historique'!$B$2:$B$1997,$A167),""))</f>
        <v>46178</v>
      </c>
    </row>
    <row r="168" spans="1:25" ht="30" customHeight="1" x14ac:dyDescent="0.25">
      <c r="R168" s="74">
        <f>IF($A168="","",IFERROR(_xlfn.MAXIFS('6-Historique'!$D$2:$D$1997,'6-Historique'!$B$2:$B$1997,$A168),""))</f>
        <v>0</v>
      </c>
      <c r="T168" s="74">
        <f>IF($A168="","",IFERROR(INDEX('4-VGP'!$A$2:$A$334,MATCH($A168,'4-VGP'!$N$2:$N$334,0)),""))</f>
        <v>45757</v>
      </c>
      <c r="W168" s="74">
        <f>IF($T168="","",EDATE($T168,'8-Param'!$Q$2))</f>
        <v>46122</v>
      </c>
    </row>
    <row r="169" spans="1:25" ht="30" customHeight="1" x14ac:dyDescent="0.25">
      <c r="R169" s="81">
        <f>IF($A169="","",IFERROR(_xlfn.MAXIFS('6-Historique'!$D$2:$D$1997,'6-Historique'!$B$2:$B$1997,$A169),""))</f>
        <v>0</v>
      </c>
      <c r="T169" s="81">
        <f>IF($A169="","",IFERROR(INDEX('4-VGP'!$A$2:$A$334,MATCH($A169,'4-VGP'!$N$2:$N$334,0)),""))</f>
        <v>44270</v>
      </c>
      <c r="W169" s="81">
        <f>IF($T169="","",EDATE($T169,'8-Param'!$Q$2))</f>
        <v>44635</v>
      </c>
    </row>
    <row r="170" spans="1:25" ht="30" customHeight="1" x14ac:dyDescent="0.25">
      <c r="R170" s="74">
        <f>IF($A170="","",IFERROR(_xlfn.MAXIFS('6-Historique'!$D$2:$D$1997,'6-Historique'!$B$2:$B$1997,$A170),""))</f>
        <v>0</v>
      </c>
      <c r="T170" s="74">
        <f>IF($A170="","",IFERROR(INDEX('4-VGP'!$A$2:$A$334,MATCH($A170,'4-VGP'!$N$2:$N$334,0)),""))</f>
        <v>44270</v>
      </c>
      <c r="W170" s="74">
        <f>IF($T170="","",EDATE($T170,'8-Param'!$Q$2))</f>
        <v>44635</v>
      </c>
    </row>
    <row r="171" spans="1:25" ht="30" customHeight="1" x14ac:dyDescent="0.25">
      <c r="R171" s="81">
        <f>IF($A171="","",IFERROR(_xlfn.MAXIFS('6-Historique'!$D$2:$D$1997,'6-Historique'!$B$2:$B$1997,$A171),""))</f>
        <v>0</v>
      </c>
      <c r="T171" s="81">
        <f>IF($A171="","",IFERROR(INDEX('4-VGP'!$A$2:$A$334,MATCH($A171,'4-VGP'!$N$2:$N$334,0)),""))</f>
        <v>45757</v>
      </c>
      <c r="W171" s="81">
        <f>IF($T171="","",EDATE($T171,'8-Param'!$Q$2))</f>
        <v>46122</v>
      </c>
    </row>
    <row r="172" spans="1:25" ht="30" customHeight="1" x14ac:dyDescent="0.25">
      <c r="R172" s="74">
        <f>IF($A172="","",IFERROR(_xlfn.MAXIFS('6-Historique'!$D$2:$D$1997,'6-Historique'!$B$2:$B$1997,$A172),""))</f>
        <v>0</v>
      </c>
      <c r="T172" s="74">
        <f>IF($A172="","",IFERROR(INDEX('4-VGP'!$A$2:$A$334,MATCH($A172,'4-VGP'!$N$2:$N$334,0)),""))</f>
        <v>45757</v>
      </c>
      <c r="W172" s="74">
        <f>IF($T172="","",EDATE($T172,'8-Param'!$Q$2))</f>
        <v>46122</v>
      </c>
    </row>
    <row r="173" spans="1:25" ht="30" customHeight="1" x14ac:dyDescent="0.25">
      <c r="R173" s="81">
        <f>IF($A173="","",IFERROR(_xlfn.MAXIFS('6-Historique'!$D$2:$D$1997,'6-Historique'!$B$2:$B$1997,$A173),""))</f>
        <v>0</v>
      </c>
      <c r="T173" s="81">
        <f>IF($A173="","",IFERROR(INDEX('4-VGP'!$A$2:$A$334,MATCH($A173,'4-VGP'!$N$2:$N$334,0)),""))</f>
        <v>45757</v>
      </c>
      <c r="W173" s="81">
        <f>IF($T173="","",EDATE($T173,'8-Param'!$Q$2))</f>
        <v>46122</v>
      </c>
    </row>
    <row r="174" spans="1:25" ht="30" customHeight="1" x14ac:dyDescent="0.25">
      <c r="R174" s="74">
        <f>IF($A174="","",IFERROR(_xlfn.MAXIFS('6-Historique'!$D$2:$D$1997,'6-Historique'!$B$2:$B$1997,$A174),""))</f>
        <v>0</v>
      </c>
      <c r="T174" s="74">
        <f>IF($A174="","",IFERROR(INDEX('4-VGP'!$A$2:$A$334,MATCH($A174,'4-VGP'!$N$2:$N$334,0)),""))</f>
        <v>45757</v>
      </c>
      <c r="W174" s="74">
        <f>IF($T174="","",EDATE($T174,'8-Param'!$Q$2))</f>
        <v>46122</v>
      </c>
    </row>
    <row r="175" spans="1:25" ht="30" customHeight="1" x14ac:dyDescent="0.25">
      <c r="R175" s="81">
        <f>IF($A175="","",IFERROR(_xlfn.MAXIFS('6-Historique'!$D$2:$D$1997,'6-Historique'!$B$2:$B$1997,$A175),""))</f>
        <v>0</v>
      </c>
    </row>
    <row r="176" spans="1:25" ht="30" customHeight="1" x14ac:dyDescent="0.25">
      <c r="R176" s="74">
        <f>IF($A176="","",IFERROR(_xlfn.MAXIFS('6-Historique'!$D$2:$D$1997,'6-Historique'!$B$2:$B$1997,$A176),""))</f>
        <v>0</v>
      </c>
      <c r="T176" s="74">
        <f>IF($A176="","",IFERROR(INDEX('4-VGP'!$A$2:$A$334,MATCH($A176,'4-VGP'!$N$2:$N$334,0)),""))</f>
        <v>44270</v>
      </c>
      <c r="W176" s="74">
        <f>IF($T176="","",EDATE($T176,'8-Param'!$Q$2))</f>
        <v>44635</v>
      </c>
    </row>
    <row r="177" spans="1:25" ht="30" customHeight="1" x14ac:dyDescent="0.25">
      <c r="R177" s="81">
        <f>IF($A177="","",IFERROR(_xlfn.MAXIFS('6-Historique'!$D$2:$D$1997,'6-Historique'!$B$2:$B$1997,$A177),""))</f>
        <v>0</v>
      </c>
      <c r="T177" s="81">
        <f>IF($A177="","",IFERROR(INDEX('4-VGP'!$A$2:$A$334,MATCH($A177,'4-VGP'!$N$2:$N$334,0)),""))</f>
        <v>44270</v>
      </c>
      <c r="W177" s="81">
        <f>IF($T177="","",EDATE($T177,'8-Param'!$Q$2))</f>
        <v>44635</v>
      </c>
    </row>
    <row r="178" spans="1:25" ht="30" customHeight="1" x14ac:dyDescent="0.25">
      <c r="R178" s="74">
        <f>IF($A178="","",IFERROR(_xlfn.MAXIFS('6-Historique'!$D$2:$D$1997,'6-Historique'!$B$2:$B$1997,$A178),""))</f>
        <v>44299</v>
      </c>
      <c r="T178" s="74">
        <f>IF($A178="","",IFERROR(INDEX('4-VGP'!$A$2:$A$334,MATCH($A178,'4-VGP'!$N$2:$N$334,0)),""))</f>
        <v>44270</v>
      </c>
      <c r="W178" s="74">
        <f>IF($T178="","",EDATE($T178,'8-Param'!$Q$2))</f>
        <v>44635</v>
      </c>
    </row>
    <row r="179" spans="1:25" ht="30" customHeight="1" x14ac:dyDescent="0.25">
      <c r="R179" s="81">
        <f>IF($A179="","",IFERROR(_xlfn.MAXIFS('6-Historique'!$D$2:$D$1997,'6-Historique'!$B$2:$B$1997,$A179),""))</f>
        <v>44733</v>
      </c>
      <c r="T179" s="81">
        <f>IF($A179="","",IFERROR(INDEX('4-VGP'!$A$2:$A$334,MATCH($A179,'4-VGP'!$N$2:$N$334,0)),""))</f>
        <v>44270</v>
      </c>
      <c r="W179" s="81">
        <f>IF($T179="","",EDATE($T179,'8-Param'!$Q$2))</f>
        <v>44635</v>
      </c>
    </row>
    <row r="180" spans="1:25" ht="30" customHeight="1" x14ac:dyDescent="0.25">
      <c r="R180" s="74">
        <f>IF($A180="","",IFERROR(_xlfn.MAXIFS('6-Historique'!$D$2:$D$1997,'6-Historique'!$B$2:$B$1997,$A180),""))</f>
        <v>45947</v>
      </c>
      <c r="T180" s="74">
        <f>IF($A180="","",IFERROR(INDEX('4-VGP'!$A$2:$A$334,MATCH($A180,'4-VGP'!$N$2:$N$334,0)),""))</f>
        <v>45947</v>
      </c>
      <c r="W180" s="74">
        <f>IF($T180="","",EDATE($T180,'8-Param'!$Q$2))</f>
        <v>46312</v>
      </c>
    </row>
    <row r="181" spans="1:25" ht="30" customHeight="1" x14ac:dyDescent="0.25">
      <c r="R181" s="81">
        <f>IF($A181="","",IFERROR(_xlfn.MAXIFS('6-Historique'!$D$2:$D$1997,'6-Historique'!$B$2:$B$1997,$A181),""))</f>
        <v>46024</v>
      </c>
      <c r="T181" s="81">
        <f>IF($A181="","",IFERROR(INDEX('4-VGP'!$A$2:$A$334,MATCH($A181,'4-VGP'!$N$2:$N$334,0)),""))</f>
        <v>45757</v>
      </c>
      <c r="W181" s="81">
        <f>IF($T181="","",EDATE($T181,'8-Param'!$Q$2))</f>
        <v>46122</v>
      </c>
    </row>
    <row r="182" spans="1:25" ht="30" customHeight="1" x14ac:dyDescent="0.25">
      <c r="R182" s="74">
        <f>IF($A182="","",IFERROR(_xlfn.MAXIFS('6-Historique'!$D$2:$D$1997,'6-Historique'!$B$2:$B$1997,$A182),""))</f>
        <v>46002</v>
      </c>
      <c r="T182" s="74">
        <f>IF($A182="","",IFERROR(INDEX('4-VGP'!$A$2:$A$334,MATCH($A182,'4-VGP'!$N$2:$N$334,0)),""))</f>
        <v>45757</v>
      </c>
      <c r="W182" s="74">
        <f>IF($T182="","",EDATE($T182,'8-Param'!$Q$2))</f>
        <v>46122</v>
      </c>
    </row>
    <row r="183" spans="1:25" ht="30" customHeight="1" x14ac:dyDescent="0.25">
      <c r="R183" s="81">
        <f>IF($A183="","",IFERROR(_xlfn.MAXIFS('6-Historique'!$D$2:$D$1997,'6-Historique'!$B$2:$B$1997,$A183),""))</f>
        <v>45947</v>
      </c>
      <c r="T183" s="81">
        <f>IF($A183="","",IFERROR(INDEX('4-VGP'!$A$2:$A$334,MATCH($A183,'4-VGP'!$N$2:$N$334,0)),""))</f>
        <v>45947</v>
      </c>
      <c r="W183" s="81">
        <f>IF($T183="","",EDATE($T183,'8-Param'!$Q$2))</f>
        <v>46312</v>
      </c>
    </row>
    <row r="184" spans="1:25" ht="30" customHeight="1" x14ac:dyDescent="0.25">
      <c r="R184" s="74">
        <f>IF($A184="","",IFERROR(_xlfn.MAXIFS('6-Historique'!$D$2:$D$1997,'6-Historique'!$B$2:$B$1997,$A184),""))</f>
        <v>45996</v>
      </c>
      <c r="T184" s="74">
        <f>IF($A184="","",IFERROR(INDEX('4-VGP'!$A$2:$A$334,MATCH($A184,'4-VGP'!$N$2:$N$334,0)),""))</f>
        <v>45757</v>
      </c>
      <c r="W184" s="74">
        <f>IF($T184="","",EDATE($T184,'8-Param'!$Q$2))</f>
        <v>46122</v>
      </c>
    </row>
    <row r="185" spans="1:25" ht="30" customHeight="1" x14ac:dyDescent="0.25">
      <c r="R185" s="81">
        <f>IF($A185="","",IFERROR(_xlfn.MAXIFS('6-Historique'!$D$2:$D$1997,'6-Historique'!$B$2:$B$1997,$A185),""))</f>
        <v>45349</v>
      </c>
      <c r="T185" s="81">
        <f>IF($A185="","",IFERROR(INDEX('4-VGP'!$A$2:$A$334,MATCH($A185,'4-VGP'!$N$2:$N$334,0)),""))</f>
        <v>44270</v>
      </c>
      <c r="W185" s="81">
        <f>IF($T185="","",EDATE($T185,'8-Param'!$Q$2))</f>
        <v>44635</v>
      </c>
    </row>
    <row r="186" spans="1:25" ht="30" customHeight="1" x14ac:dyDescent="0.25">
      <c r="R186" s="74">
        <f>IF($A186="","",IFERROR(_xlfn.MAXIFS('6-Historique'!$D$2:$D$1997,'6-Historique'!$B$2:$B$1997,$A186),""))</f>
        <v>45349</v>
      </c>
      <c r="T186" s="74">
        <f>IF($A186="","",IFERROR(INDEX('4-VGP'!$A$2:$A$334,MATCH($A186,'4-VGP'!$N$2:$N$334,0)),""))</f>
        <v>44270</v>
      </c>
      <c r="W186" s="74">
        <f>IF($T186="","",EDATE($T186,'8-Param'!$Q$2))</f>
        <v>44635</v>
      </c>
    </row>
    <row r="187" spans="1:25" ht="30" customHeight="1" x14ac:dyDescent="0.25">
      <c r="R187" s="81">
        <f>IF($A187="","",IFERROR(_xlfn.MAXIFS('6-Historique'!$D$2:$D$1997,'6-Historique'!$B$2:$B$1997,$A187),""))</f>
        <v>46024</v>
      </c>
      <c r="T187" s="81">
        <f>IF($A187="","",IFERROR(INDEX('4-VGP'!$A$2:$A$334,MATCH($A187,'4-VGP'!$N$2:$N$334,0)),""))</f>
        <v>45757</v>
      </c>
      <c r="W187" s="81">
        <f>IF($T187="","",EDATE($T187,'8-Param'!$Q$2))</f>
        <v>46122</v>
      </c>
    </row>
    <row r="188" spans="1:25" ht="30" customHeight="1" x14ac:dyDescent="0.25">
      <c r="R188" s="74">
        <f>IF($A188="","",IFERROR(_xlfn.MAXIFS('6-Historique'!$D$2:$D$1997,'6-Historique'!$B$2:$B$1997,$A188),""))</f>
        <v>45847</v>
      </c>
      <c r="T188" s="74">
        <f>IF($A188="","",IFERROR(INDEX('4-VGP'!$A$2:$A$334,MATCH($A188,'4-VGP'!$N$2:$N$334,0)),""))</f>
        <v>45757</v>
      </c>
      <c r="W188" s="74">
        <f>IF($T188="","",EDATE($T188,'8-Param'!$Q$2))</f>
        <v>46122</v>
      </c>
    </row>
    <row r="189" spans="1:25" ht="30" customHeight="1" x14ac:dyDescent="0.25">
      <c r="R189" s="81">
        <f>IF($A189="","",IFERROR(_xlfn.MAXIFS('6-Historique'!$D$2:$D$1997,'6-Historique'!$B$2:$B$1997,$A189),""))</f>
        <v>45847</v>
      </c>
      <c r="T189" s="81">
        <f>IF($A189="","",IFERROR(INDEX('4-VGP'!$A$2:$A$334,MATCH($A189,'4-VGP'!$N$2:$N$334,0)),""))</f>
        <v>45757</v>
      </c>
      <c r="W189" s="81">
        <f>IF($T189="","",EDATE($T189,'8-Param'!$Q$2))</f>
        <v>46122</v>
      </c>
    </row>
    <row r="190" spans="1:25" ht="30" customHeight="1" x14ac:dyDescent="0.25">
      <c r="R190" s="74">
        <f>IF($A190="","",IFERROR(_xlfn.MAXIFS('6-Historique'!$D$2:$D$1997,'6-Historique'!$B$2:$B$1997,$A190),""))</f>
        <v>0</v>
      </c>
    </row>
    <row r="191" spans="1:25" ht="30" customHeight="1" x14ac:dyDescent="0.25">
      <c r="R191" s="81">
        <f>IF($A191="","",IFERROR(_xlfn.MAXIFS('6-Historique'!$D$2:$D$1997,'6-Historique'!$B$2:$B$1997,$A191),""))</f>
        <v>45947</v>
      </c>
      <c r="T191" s="81">
        <f>IF($A191="","",IFERROR(INDEX('4-VGP'!$A$2:$A$334,MATCH($A191,'4-VGP'!$N$2:$N$334,0)),""))</f>
        <v>45947</v>
      </c>
      <c r="W191" s="81">
        <f>IF($T191="","",EDATE($T191,'8-Param'!$Q$2))</f>
        <v>46312</v>
      </c>
    </row>
    <row r="192" spans="1:25" ht="30" customHeight="1" x14ac:dyDescent="0.25">
      <c r="R192" s="74">
        <f>IF($A192="","",IFERROR(_xlfn.MAXIFS('6-Historique'!$D$2:$D$1997,'6-Historique'!$B$2:$B$1997,$A192),""))</f>
        <v>46121</v>
      </c>
      <c r="T192" s="74">
        <f>IF($A192="","",IFERROR(INDEX('4-VGP'!$A$2:$A$334,MATCH($A192,'4-VGP'!$N$2:$N$334,0)),""))</f>
        <v>45757</v>
      </c>
      <c r="W192" s="74">
        <f>IF($T192="","",EDATE($T192,'8-Param'!$Q$2))</f>
        <v>46122</v>
      </c>
    </row>
    <row r="193" spans="1:25" ht="30" customHeight="1" x14ac:dyDescent="0.25">
      <c r="R193" s="81">
        <f>IF($A193="","",IFERROR(_xlfn.MAXIFS('6-Historique'!$D$2:$D$1997,'6-Historique'!$B$2:$B$1997,$A193),""))</f>
        <v>44992</v>
      </c>
      <c r="T193" s="81">
        <f>IF($A193="","",IFERROR(INDEX('4-VGP'!$A$2:$A$334,MATCH($A193,'4-VGP'!$N$2:$N$334,0)),""))</f>
        <v>45757</v>
      </c>
      <c r="W193" s="81">
        <f>IF($T193="","",EDATE($T193,'8-Param'!$Q$2))</f>
        <v>46122</v>
      </c>
    </row>
    <row r="194" spans="1:25" ht="30" customHeight="1" x14ac:dyDescent="0.25">
      <c r="R194" s="74">
        <f>IF($A194="","",IFERROR(_xlfn.MAXIFS('6-Historique'!$D$2:$D$1997,'6-Historique'!$B$2:$B$1997,$A194),""))</f>
        <v>46024</v>
      </c>
      <c r="T194" s="74">
        <f>IF($A194="","",IFERROR(INDEX('4-VGP'!$A$2:$A$334,MATCH($A194,'4-VGP'!$N$2:$N$334,0)),""))</f>
        <v>45757</v>
      </c>
      <c r="W194" s="74">
        <f>IF($T194="","",EDATE($T194,'8-Param'!$Q$2))</f>
        <v>46122</v>
      </c>
    </row>
    <row r="195" spans="1:25" ht="30" customHeight="1" x14ac:dyDescent="0.25">
      <c r="R195" s="81">
        <f>IF($A195="","",IFERROR(_xlfn.MAXIFS('6-Historique'!$D$2:$D$1997,'6-Historique'!$B$2:$B$1997,$A195),""))</f>
        <v>46092</v>
      </c>
      <c r="T195" s="81">
        <f>IF($A195="","",IFERROR(INDEX('4-VGP'!$A$2:$A$334,MATCH($A195,'4-VGP'!$N$2:$N$334,0)),""))</f>
        <v>45757</v>
      </c>
      <c r="W195" s="81">
        <f>IF($T195="","",EDATE($T195,'8-Param'!$Q$2))</f>
        <v>46122</v>
      </c>
    </row>
    <row r="196" spans="1:25" ht="30" customHeight="1" x14ac:dyDescent="0.25">
      <c r="R196" s="74">
        <f>IF($A196="","",IFERROR(_xlfn.MAXIFS('6-Historique'!$D$2:$D$1997,'6-Historique'!$B$2:$B$1997,$A196),""))</f>
        <v>46024</v>
      </c>
      <c r="T196" s="74">
        <f>IF($A196="","",IFERROR(INDEX('4-VGP'!$A$2:$A$334,MATCH($A196,'4-VGP'!$N$2:$N$334,0)),""))</f>
        <v>45757</v>
      </c>
      <c r="W196" s="74">
        <f>IF($T196="","",EDATE($T196,'8-Param'!$Q$2))</f>
        <v>46122</v>
      </c>
    </row>
    <row r="197" spans="1:25" ht="30" customHeight="1" x14ac:dyDescent="0.25">
      <c r="R197" s="81">
        <f>IF($A197="","",IFERROR(_xlfn.MAXIFS('6-Historique'!$D$2:$D$1997,'6-Historique'!$B$2:$B$1997,$A197),""))</f>
        <v>0</v>
      </c>
      <c r="T197" s="81">
        <f>IF($A197="","",IFERROR(INDEX('4-VGP'!$A$2:$A$334,MATCH($A197,'4-VGP'!$N$2:$N$334,0)),""))</f>
        <v>45757</v>
      </c>
      <c r="W197" s="81">
        <f>IF($T197="","",EDATE($T197,'8-Param'!$Q$2))</f>
        <v>46122</v>
      </c>
    </row>
    <row r="198" spans="1:25" ht="30" customHeight="1" x14ac:dyDescent="0.25">
      <c r="R198" s="74">
        <f>IF($A198="","",IFERROR(_xlfn.MAXIFS('6-Historique'!$D$2:$D$1997,'6-Historique'!$B$2:$B$1997,$A198),""))</f>
        <v>45887</v>
      </c>
      <c r="T198" s="74">
        <f>IF($A198="","",IFERROR(INDEX('4-VGP'!$A$2:$A$334,MATCH($A198,'4-VGP'!$N$2:$N$334,0)),""))</f>
        <v>45757</v>
      </c>
      <c r="W198" s="74">
        <f>IF($T198="","",EDATE($T198,'8-Param'!$Q$2))</f>
        <v>46122</v>
      </c>
    </row>
    <row r="199" spans="1:25" ht="30" customHeight="1" x14ac:dyDescent="0.25">
      <c r="R199" s="81">
        <f>IF($A199="","",IFERROR(_xlfn.MAXIFS('6-Historique'!$D$2:$D$1997,'6-Historique'!$B$2:$B$1997,$A199),""))</f>
        <v>45919</v>
      </c>
    </row>
    <row r="200" spans="1:25" ht="30" customHeight="1" x14ac:dyDescent="0.25">
      <c r="R200" s="74">
        <f>IF($A200="","",IFERROR(_xlfn.MAXIFS('6-Historique'!$D$2:$D$1997,'6-Historique'!$B$2:$B$1997,$A200),""))</f>
        <v>0</v>
      </c>
    </row>
    <row r="201" spans="1:25" ht="30" customHeight="1" x14ac:dyDescent="0.25">
      <c r="R201" s="81">
        <f>IF($A201="","",IFERROR(_xlfn.MAXIFS('6-Historique'!$D$2:$D$1997,'6-Historique'!$B$2:$B$1997,$A201),""))</f>
        <v>44992</v>
      </c>
      <c r="T201" s="81">
        <f>IF($A201="","",IFERROR(INDEX('4-VGP'!$A$2:$A$334,MATCH($A201,'4-VGP'!$N$2:$N$334,0)),""))</f>
        <v>44510</v>
      </c>
      <c r="W201" s="81">
        <f>IF($T201="","",EDATE($T201,'8-Param'!$Q$2))</f>
        <v>44875</v>
      </c>
    </row>
    <row r="202" spans="1:25" ht="30" customHeight="1" x14ac:dyDescent="0.25">
      <c r="R202" s="74">
        <f>IF($A202="","",IFERROR(_xlfn.MAXIFS('6-Historique'!$D$2:$D$1997,'6-Historique'!$B$2:$B$1997,$A202),""))</f>
        <v>44600</v>
      </c>
      <c r="T202" s="74">
        <f>IF($A202="","",IFERROR(INDEX('4-VGP'!$A$2:$A$334,MATCH($A202,'4-VGP'!$N$2:$N$334,0)),""))</f>
        <v>44510</v>
      </c>
      <c r="W202" s="74">
        <f>IF($T202="","",EDATE($T202,'8-Param'!$Q$2))</f>
        <v>44875</v>
      </c>
    </row>
    <row r="203" spans="1:25" ht="30" customHeight="1" x14ac:dyDescent="0.25">
      <c r="R203" s="81">
        <f>IF($A203="","",IFERROR(_xlfn.MAXIFS('6-Historique'!$D$2:$D$1997,'6-Historique'!$B$2:$B$1997,$A203),""))</f>
        <v>45180</v>
      </c>
    </row>
    <row r="204" spans="1:25" ht="30" customHeight="1" x14ac:dyDescent="0.25">
      <c r="R204" s="74">
        <f>IF($A204="","",IFERROR(_xlfn.MAXIFS('6-Historique'!$D$2:$D$1997,'6-Historique'!$B$2:$B$1997,$A204),""))</f>
        <v>45089</v>
      </c>
    </row>
    <row r="205" spans="1:25" ht="30" customHeight="1" x14ac:dyDescent="0.25">
      <c r="R205" s="81">
        <f>IF($A205="","",IFERROR(_xlfn.MAXIFS('6-Historique'!$D$2:$D$1997,'6-Historique'!$B$2:$B$1997,$A205),""))</f>
        <v>44992</v>
      </c>
      <c r="T205" s="81">
        <f>IF($A205="","",IFERROR(INDEX('4-VGP'!$A$2:$A$334,MATCH($A205,'4-VGP'!$N$2:$N$334,0)),""))</f>
        <v>44510</v>
      </c>
      <c r="W205" s="81">
        <f>IF($T205="","",EDATE($T205,'8-Param'!$Q$2))</f>
        <v>44875</v>
      </c>
    </row>
    <row r="206" spans="1:25" ht="30" customHeight="1" x14ac:dyDescent="0.25">
      <c r="R206" s="74">
        <f>IF($A206="","",IFERROR(_xlfn.MAXIFS('6-Historique'!$D$2:$D$1997,'6-Historique'!$B$2:$B$1997,$A206),""))</f>
        <v>44992</v>
      </c>
      <c r="T206" s="74">
        <f>IF($A206="","",IFERROR(INDEX('4-VGP'!$A$2:$A$334,MATCH($A206,'4-VGP'!$N$2:$N$334,0)),""))</f>
        <v>44510</v>
      </c>
      <c r="W206" s="74">
        <f>IF($T206="","",EDATE($T206,'8-Param'!$Q$2))</f>
        <v>44875</v>
      </c>
    </row>
    <row r="207" spans="1:25" ht="30" customHeight="1" x14ac:dyDescent="0.25">
      <c r="R207" s="81">
        <f>IF($A207="","",IFERROR(_xlfn.MAXIFS('6-Historique'!$D$2:$D$1997,'6-Historique'!$B$2:$B$1997,$A207),""))</f>
        <v>45184</v>
      </c>
      <c r="T207" s="81">
        <f>IF($A207="","",IFERROR(INDEX('4-VGP'!$A$2:$A$334,MATCH($A207,'4-VGP'!$N$2:$N$334,0)),""))</f>
        <v>44510</v>
      </c>
      <c r="W207" s="81">
        <f>IF($T207="","",EDATE($T207,'8-Param'!$Q$2))</f>
        <v>44875</v>
      </c>
    </row>
    <row r="208" spans="1:25" ht="30" customHeight="1" x14ac:dyDescent="0.25">
      <c r="R208" s="74">
        <f>IF($A208="","",IFERROR(_xlfn.MAXIFS('6-Historique'!$D$2:$D$1997,'6-Historique'!$B$2:$B$1997,$A208),""))</f>
        <v>0</v>
      </c>
      <c r="T208" s="74">
        <f>IF($A208="","",IFERROR(INDEX('4-VGP'!$A$2:$A$334,MATCH($A208,'4-VGP'!$N$2:$N$334,0)),""))</f>
        <v>44510</v>
      </c>
      <c r="W208" s="74">
        <f>IF($T208="","",EDATE($T208,'8-Param'!$Q$2))</f>
        <v>44875</v>
      </c>
    </row>
    <row r="209" spans="1:25" ht="30" customHeight="1" x14ac:dyDescent="0.25">
      <c r="R209" s="81">
        <f>IF($A209="","",IFERROR(_xlfn.MAXIFS('6-Historique'!$D$2:$D$1997,'6-Historique'!$B$2:$B$1997,$A209),""))</f>
        <v>0</v>
      </c>
      <c r="T209" s="81">
        <f>IF($A209="","",IFERROR(INDEX('4-VGP'!$A$2:$A$334,MATCH($A209,'4-VGP'!$N$2:$N$334,0)),""))</f>
        <v>44510</v>
      </c>
      <c r="W209" s="81">
        <f>IF($T209="","",EDATE($T209,'8-Param'!$Q$2))</f>
        <v>44875</v>
      </c>
    </row>
    <row r="210" spans="1:25" ht="30" customHeight="1" x14ac:dyDescent="0.25">
      <c r="R210" s="74">
        <f>IF($A210="","",IFERROR(_xlfn.MAXIFS('6-Historique'!$D$2:$D$1997,'6-Historique'!$B$2:$B$1997,$A210),""))</f>
        <v>0</v>
      </c>
      <c r="T210" s="74">
        <f>IF($A210="","",IFERROR(INDEX('4-VGP'!$A$2:$A$334,MATCH($A210,'4-VGP'!$N$2:$N$334,0)),""))</f>
        <v>44510</v>
      </c>
      <c r="W210" s="74">
        <f>IF($T210="","",EDATE($T210,'8-Param'!$Q$2))</f>
        <v>44875</v>
      </c>
    </row>
    <row r="211" spans="1:25" ht="30" customHeight="1" x14ac:dyDescent="0.25">
      <c r="R211" s="81">
        <f>IF($A211="","",IFERROR(_xlfn.MAXIFS('6-Historique'!$D$2:$D$1997,'6-Historique'!$B$2:$B$1997,$A211),""))</f>
        <v>0</v>
      </c>
      <c r="T211" s="81">
        <f>IF($A211="","",IFERROR(INDEX('4-VGP'!$A$2:$A$334,MATCH($A211,'4-VGP'!$N$2:$N$334,0)),""))</f>
        <v>44510</v>
      </c>
      <c r="W211" s="81">
        <f>IF($T211="","",EDATE($T211,'8-Param'!$Q$2))</f>
        <v>44875</v>
      </c>
    </row>
    <row r="212" spans="1:25" ht="30" customHeight="1" x14ac:dyDescent="0.25">
      <c r="R212" s="74">
        <f>IF($A212="","",IFERROR(_xlfn.MAXIFS('6-Historique'!$D$2:$D$1997,'6-Historique'!$B$2:$B$1997,$A212),""))</f>
        <v>0</v>
      </c>
      <c r="T212" s="74">
        <f>IF($A212="","",IFERROR(INDEX('4-VGP'!$A$2:$A$334,MATCH($A212,'4-VGP'!$N$2:$N$334,0)),""))</f>
        <v>44510</v>
      </c>
      <c r="W212" s="74">
        <f>IF($T212="","",EDATE($T212,'8-Param'!$Q$2))</f>
        <v>44875</v>
      </c>
    </row>
    <row r="213" spans="1:25" ht="30" customHeight="1" x14ac:dyDescent="0.25">
      <c r="R213" s="81">
        <f>IF($A213="","",IFERROR(_xlfn.MAXIFS('6-Historique'!$D$2:$D$1997,'6-Historique'!$B$2:$B$1997,$A213),""))</f>
        <v>0</v>
      </c>
      <c r="T213" s="81">
        <f>IF($A213="","",IFERROR(INDEX('4-VGP'!$A$2:$A$334,MATCH($A213,'4-VGP'!$N$2:$N$334,0)),""))</f>
        <v>44510</v>
      </c>
      <c r="W213" s="81">
        <f>IF($T213="","",EDATE($T213,'8-Param'!$Q$2))</f>
        <v>44875</v>
      </c>
    </row>
    <row r="214" spans="1:25" ht="30" customHeight="1" x14ac:dyDescent="0.25">
      <c r="R214" s="74">
        <f>IF($A214="","",IFERROR(_xlfn.MAXIFS('6-Historique'!$D$2:$D$1997,'6-Historique'!$B$2:$B$1997,$A214),""))</f>
        <v>0</v>
      </c>
      <c r="T214" s="74">
        <f>IF($A214="","",IFERROR(INDEX('4-VGP'!$A$2:$A$334,MATCH($A214,'4-VGP'!$N$2:$N$334,0)),""))</f>
        <v>44510</v>
      </c>
      <c r="W214" s="74">
        <f>IF($T214="","",EDATE($T214,'8-Param'!$Q$2))</f>
        <v>44875</v>
      </c>
    </row>
    <row r="215" spans="1:25" ht="30" customHeight="1" x14ac:dyDescent="0.25">
      <c r="R215" s="81">
        <f>IF($A215="","",IFERROR(_xlfn.MAXIFS('6-Historique'!$D$2:$D$1997,'6-Historique'!$B$2:$B$1997,$A215),""))</f>
        <v>45191</v>
      </c>
    </row>
    <row r="216" spans="1:25" ht="30" customHeight="1" x14ac:dyDescent="0.25">
      <c r="R216" s="74">
        <f>IF($A216="","",IFERROR(_xlfn.MAXIFS('6-Historique'!$D$2:$D$1997,'6-Historique'!$B$2:$B$1997,$A216),""))</f>
        <v>0</v>
      </c>
    </row>
    <row r="217" spans="1:25" ht="30" customHeight="1" x14ac:dyDescent="0.25">
      <c r="R217" s="81">
        <f>IF($A217="","",IFERROR(_xlfn.MAXIFS('6-Historique'!$D$2:$D$1997,'6-Historique'!$B$2:$B$1997,$A217),""))</f>
        <v>0</v>
      </c>
      <c r="T217" s="81">
        <f>IF($A217="","",IFERROR(INDEX('4-VGP'!$A$2:$A$334,MATCH($A217,'4-VGP'!$N$2:$N$334,0)),""))</f>
        <v>45741</v>
      </c>
      <c r="W217" s="81">
        <f>IF($T217="","",EDATE($T217,'8-Param'!$Q$2))</f>
        <v>46106</v>
      </c>
    </row>
    <row r="218" spans="1:25" ht="30" customHeight="1" x14ac:dyDescent="0.25">
      <c r="R218" s="74">
        <f>IF($A218="","",IFERROR(_xlfn.MAXIFS('6-Historique'!$D$2:$D$1997,'6-Historique'!$B$2:$B$1997,$A218),""))</f>
        <v>0</v>
      </c>
      <c r="T218" s="74">
        <f>IF($A218="","",IFERROR(INDEX('4-VGP'!$A$2:$A$334,MATCH($A218,'4-VGP'!$N$2:$N$334,0)),""))</f>
        <v>46097</v>
      </c>
      <c r="W218" s="74">
        <f>IF($T218="","",EDATE($T218,'8-Param'!$Q$2))</f>
        <v>46462</v>
      </c>
    </row>
    <row r="219" spans="1:25" ht="30" customHeight="1" x14ac:dyDescent="0.25">
      <c r="R219" s="81">
        <f>IF($A219="","",IFERROR(_xlfn.MAXIFS('6-Historique'!$D$2:$D$1997,'6-Historique'!$B$2:$B$1997,$A219),""))</f>
        <v>0</v>
      </c>
      <c r="T219" s="81">
        <f>IF($A219="","",IFERROR(INDEX('4-VGP'!$A$2:$A$334,MATCH($A219,'4-VGP'!$N$2:$N$334,0)),""))</f>
        <v>45741</v>
      </c>
      <c r="W219" s="81">
        <f>IF($T219="","",EDATE($T219,'8-Param'!$Q$2))</f>
        <v>46106</v>
      </c>
    </row>
    <row r="220" spans="1:25" ht="30" customHeight="1" x14ac:dyDescent="0.25">
      <c r="R220" s="74">
        <f>IF($A220="","",IFERROR(_xlfn.MAXIFS('6-Historique'!$D$2:$D$1997,'6-Historique'!$B$2:$B$1997,$A220),""))</f>
        <v>45919</v>
      </c>
    </row>
    <row r="221" spans="1:25" ht="30" customHeight="1" x14ac:dyDescent="0.25">
      <c r="R221" s="81">
        <f>IF($A221="","",IFERROR(_xlfn.MAXIFS('6-Historique'!$D$2:$D$1997,'6-Historique'!$B$2:$B$1997,$A221),""))</f>
        <v>0</v>
      </c>
      <c r="T221" s="81">
        <f>IF($A221="","",IFERROR(INDEX('4-VGP'!$A$2:$A$334,MATCH($A221,'4-VGP'!$N$2:$N$334,0)),""))</f>
        <v>45741</v>
      </c>
      <c r="W221" s="81">
        <f>IF($T221="","",EDATE($T221,'8-Param'!$Q$2))</f>
        <v>46106</v>
      </c>
    </row>
    <row r="222" spans="1:25" ht="30" customHeight="1" x14ac:dyDescent="0.25">
      <c r="R222" s="74">
        <f>IF($A222="","",IFERROR(_xlfn.MAXIFS('6-Historique'!$D$2:$D$1997,'6-Historique'!$B$2:$B$1997,$A222),""))</f>
        <v>45744</v>
      </c>
    </row>
    <row r="223" spans="1:25" ht="30" customHeight="1" x14ac:dyDescent="0.25">
      <c r="R223" s="81">
        <f>IF($A223="","",IFERROR(_xlfn.MAXIFS('6-Historique'!$D$2:$D$1997,'6-Historique'!$B$2:$B$1997,$A223),""))</f>
        <v>45706</v>
      </c>
    </row>
    <row r="224" spans="1:25" ht="30" customHeight="1" x14ac:dyDescent="0.25">
      <c r="R224" s="74">
        <f>IF($A224="","",IFERROR(_xlfn.MAXIFS('6-Historique'!$D$2:$D$1997,'6-Historique'!$B$2:$B$1997,$A224),""))</f>
        <v>46231</v>
      </c>
      <c r="T224" s="74">
        <f>IF($A224="","",IFERROR(INDEX('4-VGP'!$A$2:$A$334,MATCH($A224,'4-VGP'!$N$2:$N$334,0)),""))</f>
        <v>46097</v>
      </c>
      <c r="W224" s="74">
        <f>IF($T224="","",EDATE($T224,'8-Param'!$Q$2))</f>
        <v>46462</v>
      </c>
    </row>
    <row r="225" spans="1:25" ht="30" customHeight="1" x14ac:dyDescent="0.25">
      <c r="R225" s="81">
        <f>IF($A225="","",IFERROR(_xlfn.MAXIFS('6-Historique'!$D$2:$D$1997,'6-Historique'!$B$2:$B$1997,$A225),""))</f>
        <v>46231</v>
      </c>
      <c r="T225" s="81">
        <f>IF($A225="","",IFERROR(INDEX('4-VGP'!$A$2:$A$334,MATCH($A225,'4-VGP'!$N$2:$N$334,0)),""))</f>
        <v>46097</v>
      </c>
      <c r="W225" s="81">
        <f>IF($T225="","",EDATE($T225,'8-Param'!$Q$2))</f>
        <v>46462</v>
      </c>
    </row>
    <row r="226" spans="1:25" ht="30" customHeight="1" x14ac:dyDescent="0.25">
      <c r="R226" s="74">
        <f>IF($A226="","",IFERROR(_xlfn.MAXIFS('6-Historique'!$D$2:$D$1997,'6-Historique'!$B$2:$B$1997,$A226),""))</f>
        <v>45989</v>
      </c>
      <c r="T226" s="74">
        <f>IF($A226="","",IFERROR(INDEX('4-VGP'!$A$2:$A$334,MATCH($A226,'4-VGP'!$N$2:$N$334,0)),""))</f>
        <v>46097</v>
      </c>
      <c r="W226" s="74">
        <f>IF($T226="","",EDATE($T226,'8-Param'!$Q$2))</f>
        <v>46462</v>
      </c>
    </row>
    <row r="227" spans="1:25" ht="30" customHeight="1" x14ac:dyDescent="0.25">
      <c r="R227" s="81">
        <f>IF($A227="","",IFERROR(_xlfn.MAXIFS('6-Historique'!$D$2:$D$1997,'6-Historique'!$B$2:$B$1997,$A227),""))</f>
        <v>46059</v>
      </c>
      <c r="T227" s="81">
        <f>IF($A227="","",IFERROR(INDEX('4-VGP'!$A$2:$A$334,MATCH($A227,'4-VGP'!$N$2:$N$334,0)),""))</f>
        <v>46057</v>
      </c>
      <c r="W227" s="81">
        <f>IF($T227="","",EDATE($T227,'8-Param'!$Q$2))</f>
        <v>46422</v>
      </c>
    </row>
    <row r="228" spans="1:25" ht="30" customHeight="1" x14ac:dyDescent="0.25">
      <c r="R228" s="74">
        <f>IF($A228="","",IFERROR(_xlfn.MAXIFS('6-Historique'!$D$2:$D$1997,'6-Historique'!$B$2:$B$1997,$A228),""))</f>
        <v>46059</v>
      </c>
      <c r="T228" s="74">
        <f>IF($A228="","",IFERROR(INDEX('4-VGP'!$A$2:$A$334,MATCH($A228,'4-VGP'!$N$2:$N$334,0)),""))</f>
        <v>46057</v>
      </c>
      <c r="W228" s="74">
        <f>IF($T228="","",EDATE($T228,'8-Param'!$Q$2))</f>
        <v>46422</v>
      </c>
    </row>
    <row r="229" spans="1:25" ht="30" customHeight="1" x14ac:dyDescent="0.25">
      <c r="R229" s="81">
        <f>IF($A229="","",IFERROR(_xlfn.MAXIFS('6-Historique'!$D$2:$D$1997,'6-Historique'!$B$2:$B$1997,$A229),""))</f>
        <v>46170</v>
      </c>
      <c r="T229" s="81">
        <f>IF($A229="","",IFERROR(INDEX('4-VGP'!$A$2:$A$334,MATCH($A229,'4-VGP'!$N$2:$N$334,0)),""))</f>
        <v>46097</v>
      </c>
      <c r="W229" s="81">
        <f>IF($T229="","",EDATE($T229,'8-Param'!$Q$2))</f>
        <v>46462</v>
      </c>
    </row>
    <row r="230" spans="1:25" ht="30" customHeight="1" x14ac:dyDescent="0.25">
      <c r="R230" s="74">
        <f>IF($A230="","",IFERROR(_xlfn.MAXIFS('6-Historique'!$D$2:$D$1997,'6-Historique'!$B$2:$B$1997,$A230),""))</f>
        <v>46202</v>
      </c>
      <c r="T230" s="74">
        <f>IF($A230="","",IFERROR(INDEX('4-VGP'!$A$2:$A$334,MATCH($A230,'4-VGP'!$N$2:$N$334,0)),""))</f>
        <v>46097</v>
      </c>
      <c r="W230" s="74">
        <f>IF($T230="","",EDATE($T230,'8-Param'!$Q$2))</f>
        <v>46462</v>
      </c>
    </row>
    <row r="231" spans="1:25" ht="30" customHeight="1" x14ac:dyDescent="0.25">
      <c r="R231" s="81">
        <f>IF($A231="","",IFERROR(_xlfn.MAXIFS('6-Historique'!$D$2:$D$1997,'6-Historique'!$B$2:$B$1997,$A231),""))</f>
        <v>0</v>
      </c>
      <c r="T231" s="81">
        <f>IF($A231="","",IFERROR(INDEX('4-VGP'!$A$2:$A$334,MATCH($A231,'4-VGP'!$N$2:$N$334,0)),""))</f>
        <v>44209</v>
      </c>
      <c r="W231" s="81">
        <f>IF($T231="","",EDATE($T231,'8-Param'!$Q$2))</f>
        <v>44574</v>
      </c>
    </row>
    <row r="232" spans="1:25" ht="30" customHeight="1" x14ac:dyDescent="0.25">
      <c r="R232" s="74">
        <f>IF($A232="","",IFERROR(_xlfn.MAXIFS('6-Historique'!$D$2:$D$1997,'6-Historique'!$B$2:$B$1997,$A232),""))</f>
        <v>0</v>
      </c>
      <c r="T232" s="74">
        <f>IF($A232="","",IFERROR(INDEX('4-VGP'!$A$2:$A$334,MATCH($A232,'4-VGP'!$N$2:$N$334,0)),""))</f>
        <v>45742</v>
      </c>
      <c r="W232" s="74">
        <f>IF($T232="","",EDATE($T232,'8-Param'!$Q$2))</f>
        <v>46107</v>
      </c>
    </row>
    <row r="233" spans="1:25" ht="30" customHeight="1" x14ac:dyDescent="0.25">
      <c r="R233" s="81">
        <f>IF($A233="","",IFERROR(_xlfn.MAXIFS('6-Historique'!$D$2:$D$1997,'6-Historique'!$B$2:$B$1997,$A233),""))</f>
        <v>0</v>
      </c>
    </row>
    <row r="234" spans="1:25" ht="30" customHeight="1" x14ac:dyDescent="0.25">
      <c r="R234" s="88">
        <f>IF($A234="","",IFERROR(_xlfn.MAXIFS('6-Historique'!$D$2:$D$1997,'6-Historique'!$B$2:$B$1997,$A234),""))</f>
        <v>0</v>
      </c>
    </row>
    <row r="235" spans="1:25" ht="30" customHeight="1" x14ac:dyDescent="0.25">
      <c r="R235" s="96">
        <f>IF($A235="","",IFERROR(_xlfn.MAXIFS('6-Historique'!$D$2:$D$1997,'6-Historique'!$B$2:$B$1997,$A235),""))</f>
        <v>0</v>
      </c>
    </row>
    <row r="236" spans="1:25" ht="30" customHeight="1" x14ac:dyDescent="0.25"/>
    <row r="237" spans="1:25" ht="30" customHeight="1" x14ac:dyDescent="0.25">
      <c r="R237" s="81">
        <f>IF($A237="","",IFERROR(_xlfn.MAXIFS('6-Historique'!$D$2:$D$1997,'6-Historique'!$B$2:$B$1997,$A237),""))</f>
        <v>0</v>
      </c>
      <c r="T237" s="81">
        <f>IF($A237="","",IFERROR(INDEX('4-VGP'!$A$2:$A$334,MATCH($A237,'4-VGP'!$N$2:$N$334,0)),""))</f>
        <v>45742</v>
      </c>
      <c r="W237" s="81">
        <f>IF($T237="","",EDATE($T237,'8-Param'!$Q$2))</f>
        <v>46107</v>
      </c>
    </row>
    <row r="238" spans="1:25" ht="30" customHeight="1" x14ac:dyDescent="0.25">
      <c r="R238" s="74">
        <f>IF($A238="","",IFERROR(_xlfn.MAXIFS('6-Historique'!$D$2:$D$1997,'6-Historique'!$B$2:$B$1997,$A238),""))</f>
        <v>0</v>
      </c>
      <c r="T238" s="74">
        <f>IF($A238="","",IFERROR(INDEX('4-VGP'!$A$2:$A$334,MATCH($A238,'4-VGP'!$N$2:$N$334,0)),""))</f>
        <v>45742</v>
      </c>
      <c r="W238" s="74">
        <f>IF($T238="","",EDATE($T238,'8-Param'!$Q$2))</f>
        <v>46107</v>
      </c>
    </row>
    <row r="239" spans="1:25" ht="30" customHeight="1" x14ac:dyDescent="0.25">
      <c r="R239" s="81">
        <f>IF($A239="","",IFERROR(_xlfn.MAXIFS('6-Historique'!$D$2:$D$1997,'6-Historique'!$B$2:$B$1997,$A239),""))</f>
        <v>0</v>
      </c>
      <c r="T239" s="81">
        <f>IF($A239="","",IFERROR(INDEX('4-VGP'!$A$2:$A$334,MATCH($A239,'4-VGP'!$N$2:$N$334,0)),""))</f>
        <v>46111</v>
      </c>
      <c r="W239" s="81">
        <f>IF($T239="","",EDATE($T239,'8-Param'!$Q$2))</f>
        <v>46476</v>
      </c>
    </row>
    <row r="240" spans="1:25" ht="30" customHeight="1" x14ac:dyDescent="0.25">
      <c r="R240" s="74">
        <f>IF($A240="","",IFERROR(_xlfn.MAXIFS('6-Historique'!$D$2:$D$1997,'6-Historique'!$B$2:$B$1997,$A240),""))</f>
        <v>0</v>
      </c>
      <c r="T240" s="74">
        <f>IF($A240="","",IFERROR(INDEX('4-VGP'!$A$2:$A$334,MATCH($A240,'4-VGP'!$N$2:$N$334,0)),""))</f>
        <v>45742</v>
      </c>
      <c r="W240" s="74">
        <f>IF($T240="","",EDATE($T240,'8-Param'!$Q$2))</f>
        <v>46107</v>
      </c>
    </row>
    <row r="241" spans="1:25" ht="30" customHeight="1" x14ac:dyDescent="0.25">
      <c r="R241" s="81">
        <f>IF($A241="","",IFERROR(_xlfn.MAXIFS('6-Historique'!$D$2:$D$1997,'6-Historique'!$B$2:$B$1997,$A241),""))</f>
        <v>0</v>
      </c>
      <c r="T241" s="81">
        <f>IF($A241="","",IFERROR(INDEX('4-VGP'!$A$2:$A$334,MATCH($A241,'4-VGP'!$N$2:$N$334,0)),""))</f>
        <v>45742</v>
      </c>
      <c r="W241" s="81">
        <f>IF($T241="","",EDATE($T241,'8-Param'!$Q$2))</f>
        <v>46107</v>
      </c>
    </row>
    <row r="242" spans="1:25" ht="30" customHeight="1" x14ac:dyDescent="0.25">
      <c r="R242" s="74">
        <f>IF($A242="","",IFERROR(_xlfn.MAXIFS('6-Historique'!$D$2:$D$1997,'6-Historique'!$B$2:$B$1997,$A242),""))</f>
        <v>46111</v>
      </c>
      <c r="T242" s="74">
        <f>IF($A242="","",IFERROR(INDEX('4-VGP'!$A$2:$A$334,MATCH($A242,'4-VGP'!$N$2:$N$334,0)),""))</f>
        <v>46111</v>
      </c>
      <c r="W242" s="74">
        <f>IF($T242="","",EDATE($T242,'8-Param'!$Q$2))</f>
        <v>46476</v>
      </c>
    </row>
    <row r="243" spans="1:25" ht="30" customHeight="1" x14ac:dyDescent="0.25">
      <c r="R243" s="81">
        <f>IF($A243="","",IFERROR(_xlfn.MAXIFS('6-Historique'!$D$2:$D$1997,'6-Historique'!$B$2:$B$1997,$A243),""))</f>
        <v>46176</v>
      </c>
      <c r="T243" s="81">
        <f>IF($A243="","",IFERROR(INDEX('4-VGP'!$A$2:$A$334,MATCH($A243,'4-VGP'!$N$2:$N$334,0)),""))</f>
        <v>46111</v>
      </c>
      <c r="W243" s="81">
        <f>IF($T243="","",EDATE($T243,'8-Param'!$Q$2))</f>
        <v>46476</v>
      </c>
    </row>
    <row r="244" spans="1:25" ht="30" customHeight="1" x14ac:dyDescent="0.25">
      <c r="R244" s="74">
        <f>IF($A244="","",IFERROR(_xlfn.MAXIFS('6-Historique'!$D$2:$D$1997,'6-Historique'!$B$2:$B$1997,$A244),""))</f>
        <v>46174</v>
      </c>
      <c r="T244" s="74">
        <f>IF($A244="","",IFERROR(INDEX('4-VGP'!$A$2:$A$334,MATCH($A244,'4-VGP'!$N$2:$N$334,0)),""))</f>
        <v>46111</v>
      </c>
      <c r="W244" s="74">
        <f>IF($T244="","",EDATE($T244,'8-Param'!$Q$2))</f>
        <v>46476</v>
      </c>
    </row>
    <row r="245" spans="1:25" ht="30" customHeight="1" x14ac:dyDescent="0.25">
      <c r="R245" s="81">
        <f>IF($A245="","",IFERROR(_xlfn.MAXIFS('6-Historique'!$D$2:$D$1997,'6-Historique'!$B$2:$B$1997,$A245),""))</f>
        <v>46176</v>
      </c>
      <c r="T245" s="81">
        <f>IF($A245="","",IFERROR(INDEX('4-VGP'!$A$2:$A$334,MATCH($A245,'4-VGP'!$N$2:$N$334,0)),""))</f>
        <v>46111</v>
      </c>
      <c r="W245" s="81">
        <f>IF($T245="","",EDATE($T245,'8-Param'!$Q$2))</f>
        <v>46476</v>
      </c>
    </row>
    <row r="246" spans="1:25" ht="30" customHeight="1" x14ac:dyDescent="0.25">
      <c r="R246" s="74">
        <f>IF($A246="","",IFERROR(_xlfn.MAXIFS('6-Historique'!$D$2:$D$1997,'6-Historique'!$B$2:$B$1997,$A246),""))</f>
        <v>45744</v>
      </c>
      <c r="T246" s="74">
        <f>IF($A246="","",IFERROR(INDEX('4-VGP'!$A$2:$A$334,MATCH($A246,'4-VGP'!$N$2:$N$334,0)),""))</f>
        <v>46111</v>
      </c>
      <c r="W246" s="74">
        <f>IF($T246="","",EDATE($T246,'8-Param'!$Q$2))</f>
        <v>46476</v>
      </c>
    </row>
    <row r="247" spans="1:25" ht="30" customHeight="1" x14ac:dyDescent="0.25">
      <c r="R247" s="81">
        <f>IF($A247="","",IFERROR(_xlfn.MAXIFS('6-Historique'!$D$2:$D$1997,'6-Historique'!$B$2:$B$1997,$A247),""))</f>
        <v>45013</v>
      </c>
      <c r="T247" s="81">
        <f>IF($A247="","",IFERROR(INDEX('4-VGP'!$A$2:$A$334,MATCH($A247,'4-VGP'!$N$2:$N$334,0)),""))</f>
        <v>44400</v>
      </c>
      <c r="W247" s="81">
        <f>IF($T247="","",EDATE($T247,'8-Param'!$Q$2))</f>
        <v>44765</v>
      </c>
    </row>
    <row r="248" spans="1:25" ht="30" customHeight="1" x14ac:dyDescent="0.25">
      <c r="R248" s="74">
        <f>IF($A248="","",IFERROR(_xlfn.MAXIFS('6-Historique'!$D$2:$D$1997,'6-Historique'!$B$2:$B$1997,$A248),""))</f>
        <v>45380</v>
      </c>
      <c r="T248" s="74">
        <f>IF($A248="","",IFERROR(INDEX('4-VGP'!$A$2:$A$334,MATCH($A248,'4-VGP'!$N$2:$N$334,0)),""))</f>
        <v>45742</v>
      </c>
      <c r="W248" s="74">
        <f>IF($T248="","",EDATE($T248,'8-Param'!$Q$2))</f>
        <v>46107</v>
      </c>
    </row>
    <row r="249" spans="1:25" ht="30" customHeight="1" x14ac:dyDescent="0.25">
      <c r="R249" s="81">
        <f>IF($A249="","",IFERROR(_xlfn.MAXIFS('6-Historique'!$D$2:$D$1997,'6-Historique'!$B$2:$B$1997,$A249),""))</f>
        <v>45131</v>
      </c>
      <c r="T249" s="81">
        <f>IF($A249="","",IFERROR(INDEX('4-VGP'!$A$2:$A$334,MATCH($A249,'4-VGP'!$N$2:$N$334,0)),""))</f>
        <v>44400</v>
      </c>
      <c r="W249" s="81">
        <f>IF($T249="","",EDATE($T249,'8-Param'!$Q$2))</f>
        <v>44765</v>
      </c>
    </row>
    <row r="250" spans="1:25" ht="30" customHeight="1" x14ac:dyDescent="0.25">
      <c r="R250" s="74">
        <f>IF($A250="","",IFERROR(_xlfn.MAXIFS('6-Historique'!$D$2:$D$1997,'6-Historique'!$B$2:$B$1997,$A250),""))</f>
        <v>0</v>
      </c>
      <c r="T250" s="74">
        <f>IF($A250="","",IFERROR(INDEX('4-VGP'!$A$2:$A$334,MATCH($A250,'4-VGP'!$N$2:$N$334,0)),""))</f>
        <v>44400</v>
      </c>
      <c r="W250" s="74">
        <f>IF($T250="","",EDATE($T250,'8-Param'!$Q$2))</f>
        <v>44765</v>
      </c>
    </row>
    <row r="251" spans="1:25" ht="30" customHeight="1" x14ac:dyDescent="0.25">
      <c r="R251" s="81">
        <f>IF($A251="","",IFERROR(_xlfn.MAXIFS('6-Historique'!$D$2:$D$1997,'6-Historique'!$B$2:$B$1997,$A251),""))</f>
        <v>45937</v>
      </c>
    </row>
    <row r="252" spans="1:25" ht="30" customHeight="1" x14ac:dyDescent="0.25">
      <c r="R252" s="74">
        <f>IF($A252="","",IFERROR(_xlfn.MAXIFS('6-Historique'!$D$2:$D$1997,'6-Historique'!$B$2:$B$1997,$A252),""))</f>
        <v>44954</v>
      </c>
      <c r="T252" s="74">
        <f>IF($A252="","",IFERROR(INDEX('4-VGP'!$A$2:$A$334,MATCH($A252,'4-VGP'!$N$2:$N$334,0)),""))</f>
        <v>46092</v>
      </c>
      <c r="W252" s="74">
        <f>IF($T252="","",EDATE($T252,'8-Param'!$Q$2))</f>
        <v>46457</v>
      </c>
    </row>
    <row r="253" spans="1:25" ht="30" customHeight="1" x14ac:dyDescent="0.25">
      <c r="R253" s="81">
        <f>IF($A253="","",IFERROR(_xlfn.MAXIFS('6-Historique'!$D$2:$D$1997,'6-Historique'!$B$2:$B$1997,$A253),""))</f>
        <v>46136</v>
      </c>
    </row>
    <row r="254" spans="1:25" ht="30" customHeight="1" x14ac:dyDescent="0.25">
      <c r="R254" s="74">
        <f>IF($A254="","",IFERROR(_xlfn.MAXIFS('6-Historique'!$D$2:$D$1997,'6-Historique'!$B$2:$B$1997,$A254),""))</f>
        <v>44613</v>
      </c>
      <c r="T254" s="74">
        <f>IF($A254="","",IFERROR(INDEX('4-VGP'!$A$2:$A$334,MATCH($A254,'4-VGP'!$N$2:$N$334,0)),""))</f>
        <v>44204</v>
      </c>
      <c r="W254" s="74">
        <f>IF($T254="","",EDATE($T254,'8-Param'!$Q$2))</f>
        <v>44569</v>
      </c>
    </row>
    <row r="255" spans="1:25" ht="30" customHeight="1" x14ac:dyDescent="0.25">
      <c r="R255" s="81">
        <f>IF($A255="","",IFERROR(_xlfn.MAXIFS('6-Historique'!$D$2:$D$1997,'6-Historique'!$B$2:$B$1997,$A255),""))</f>
        <v>45212</v>
      </c>
    </row>
    <row r="256" spans="1:25" ht="30" customHeight="1" x14ac:dyDescent="0.25">
      <c r="R256" s="74">
        <f>IF($A256="","",IFERROR(_xlfn.MAXIFS('6-Historique'!$D$2:$D$1997,'6-Historique'!$B$2:$B$1997,$A256),""))</f>
        <v>46183</v>
      </c>
      <c r="T256" s="74">
        <f>IF($A256="","",IFERROR(INDEX('4-VGP'!$A$2:$A$334,MATCH($A256,'4-VGP'!$N$2:$N$334,0)),""))</f>
        <v>46092</v>
      </c>
      <c r="W256" s="74">
        <f>IF($T256="","",EDATE($T256,'8-Param'!$Q$2))</f>
        <v>46457</v>
      </c>
    </row>
    <row r="257" spans="1:25" ht="30" customHeight="1" x14ac:dyDescent="0.25">
      <c r="R257" s="81">
        <f>IF($A257="","",IFERROR(_xlfn.MAXIFS('6-Historique'!$D$2:$D$1997,'6-Historique'!$B$2:$B$1997,$A257),""))</f>
        <v>45734</v>
      </c>
      <c r="T257" s="81">
        <f>IF($A257="","",IFERROR(INDEX('4-VGP'!$A$2:$A$334,MATCH($A257,'4-VGP'!$N$2:$N$334,0)),""))</f>
        <v>46111</v>
      </c>
      <c r="W257" s="81">
        <f>IF($T257="","",EDATE($T257,'8-Param'!$Q$2))</f>
        <v>46476</v>
      </c>
    </row>
    <row r="258" spans="1:25" ht="30" customHeight="1" x14ac:dyDescent="0.25">
      <c r="R258" s="74">
        <f>IF($A258="","",IFERROR(_xlfn.MAXIFS('6-Historique'!$D$2:$D$1997,'6-Historique'!$B$2:$B$1997,$A258),""))</f>
        <v>45846</v>
      </c>
      <c r="T258" s="74">
        <f>IF($A258="","",IFERROR(INDEX('4-VGP'!$A$2:$A$334,MATCH($A258,'4-VGP'!$N$2:$N$334,0)),""))</f>
        <v>46111</v>
      </c>
      <c r="W258" s="74">
        <f>IF($T258="","",EDATE($T258,'8-Param'!$Q$2))</f>
        <v>46476</v>
      </c>
    </row>
    <row r="259" spans="1:25" ht="30" customHeight="1" x14ac:dyDescent="0.25">
      <c r="R259" s="81">
        <f>IF($A259="","",IFERROR(_xlfn.MAXIFS('6-Historique'!$D$2:$D$1997,'6-Historique'!$B$2:$B$1997,$A259),""))</f>
        <v>46111</v>
      </c>
      <c r="T259" s="81">
        <f>IF($A259="","",IFERROR(INDEX('4-VGP'!$A$2:$A$334,MATCH($A259,'4-VGP'!$N$2:$N$334,0)),""))</f>
        <v>46111</v>
      </c>
      <c r="W259" s="81">
        <f>IF($T259="","",EDATE($T259,'8-Param'!$Q$2))</f>
        <v>46476</v>
      </c>
    </row>
    <row r="260" spans="1:25" ht="30" customHeight="1" x14ac:dyDescent="0.25">
      <c r="R260" s="74">
        <f>IF($A260="","",IFERROR(_xlfn.MAXIFS('6-Historique'!$D$2:$D$1997,'6-Historique'!$B$2:$B$1997,$A260),""))</f>
        <v>44922</v>
      </c>
      <c r="T260" s="74">
        <f>IF($A260="","",IFERROR(INDEX('4-VGP'!$A$2:$A$334,MATCH($A260,'4-VGP'!$N$2:$N$334,0)),""))</f>
        <v>44204</v>
      </c>
      <c r="W260" s="74">
        <f>IF($T260="","",EDATE($T260,'8-Param'!$Q$2))</f>
        <v>44569</v>
      </c>
    </row>
    <row r="261" spans="1:25" ht="30" customHeight="1" x14ac:dyDescent="0.25">
      <c r="R261" s="81">
        <f>IF($A261="","",IFERROR(_xlfn.MAXIFS('6-Historique'!$D$2:$D$1997,'6-Historique'!$B$2:$B$1997,$A261),""))</f>
        <v>45387</v>
      </c>
      <c r="T261" s="81">
        <f>IF($A261="","",IFERROR(INDEX('4-VGP'!$A$2:$A$334,MATCH($A261,'4-VGP'!$N$2:$N$334,0)),""))</f>
        <v>46093</v>
      </c>
      <c r="W261" s="81">
        <f>IF($T261="","",EDATE($T261,'8-Param'!$Q$2))</f>
        <v>46458</v>
      </c>
    </row>
    <row r="262" spans="1:25" ht="30" customHeight="1" x14ac:dyDescent="0.25">
      <c r="R262" s="74">
        <f>IF($A262="","",IFERROR(_xlfn.MAXIFS('6-Historique'!$D$2:$D$1997,'6-Historique'!$B$2:$B$1997,$A262),""))</f>
        <v>44985</v>
      </c>
      <c r="T262" s="74">
        <f>IF($A262="","",IFERROR(INDEX('4-VGP'!$A$2:$A$334,MATCH($A262,'4-VGP'!$N$2:$N$334,0)),""))</f>
        <v>46093</v>
      </c>
      <c r="W262" s="74">
        <f>IF($T262="","",EDATE($T262,'8-Param'!$Q$2))</f>
        <v>46458</v>
      </c>
    </row>
    <row r="263" spans="1:25" ht="30" customHeight="1" x14ac:dyDescent="0.25">
      <c r="R263" s="81">
        <f>IF($A263="","",IFERROR(_xlfn.MAXIFS('6-Historique'!$D$2:$D$1997,'6-Historique'!$B$2:$B$1997,$A263),""))</f>
        <v>0</v>
      </c>
      <c r="T263" s="81">
        <f>IF($A263="","",IFERROR(INDEX('4-VGP'!$A$2:$A$334,MATCH($A263,'4-VGP'!$N$2:$N$334,0)),""))</f>
        <v>45741</v>
      </c>
      <c r="W263" s="81">
        <f>IF($T263="","",EDATE($T263,'8-Param'!$Q$2))</f>
        <v>46106</v>
      </c>
    </row>
    <row r="264" spans="1:25" ht="30" customHeight="1" x14ac:dyDescent="0.25">
      <c r="R264" s="74">
        <f>IF($A264="","",IFERROR(_xlfn.MAXIFS('6-Historique'!$D$2:$D$1997,'6-Historique'!$B$2:$B$1997,$A264),""))</f>
        <v>0</v>
      </c>
      <c r="T264" s="74">
        <f>IF($A264="","",IFERROR(INDEX('4-VGP'!$A$2:$A$334,MATCH($A264,'4-VGP'!$N$2:$N$334,0)),""))</f>
        <v>46093</v>
      </c>
      <c r="W264" s="74">
        <f>IF($T264="","",EDATE($T264,'8-Param'!$Q$2))</f>
        <v>46458</v>
      </c>
    </row>
    <row r="265" spans="1:25" ht="30" customHeight="1" x14ac:dyDescent="0.25">
      <c r="R265" s="81">
        <f>IF($A265="","",IFERROR(_xlfn.MAXIFS('6-Historique'!$D$2:$D$1997,'6-Historique'!$B$2:$B$1997,$A265),""))</f>
        <v>0</v>
      </c>
      <c r="T265" s="81">
        <f>IF($A265="","",IFERROR(INDEX('4-VGP'!$A$2:$A$334,MATCH($A265,'4-VGP'!$N$2:$N$334,0)),""))</f>
        <v>46093</v>
      </c>
      <c r="W265" s="81">
        <f>IF($T265="","",EDATE($T265,'8-Param'!$Q$2))</f>
        <v>46458</v>
      </c>
    </row>
    <row r="266" spans="1:25" ht="30" customHeight="1" x14ac:dyDescent="0.25">
      <c r="R266" s="74">
        <f>IF($A266="","",IFERROR(_xlfn.MAXIFS('6-Historique'!$D$2:$D$1997,'6-Historique'!$B$2:$B$1997,$A266),""))</f>
        <v>46093</v>
      </c>
      <c r="T266" s="74">
        <f>IF($A266="","",IFERROR(INDEX('4-VGP'!$A$2:$A$334,MATCH($A266,'4-VGP'!$N$2:$N$334,0)),""))</f>
        <v>46093</v>
      </c>
      <c r="W266" s="74">
        <f>IF($T266="","",EDATE($T266,'8-Param'!$Q$2))</f>
        <v>46458</v>
      </c>
    </row>
    <row r="267" spans="1:25" ht="30" customHeight="1" x14ac:dyDescent="0.25">
      <c r="R267" s="81">
        <f>IF($A267="","",IFERROR(_xlfn.MAXIFS('6-Historique'!$D$2:$D$1997,'6-Historique'!$B$2:$B$1997,$A267),""))</f>
        <v>45846</v>
      </c>
      <c r="T267" s="81">
        <f>IF($A267="","",IFERROR(INDEX('4-VGP'!$A$2:$A$334,MATCH($A267,'4-VGP'!$N$2:$N$334,0)),""))</f>
        <v>46093</v>
      </c>
      <c r="W267" s="81">
        <f>IF($T267="","",EDATE($T267,'8-Param'!$Q$2))</f>
        <v>46458</v>
      </c>
    </row>
    <row r="268" spans="1:25" ht="30" customHeight="1" x14ac:dyDescent="0.25">
      <c r="R268" s="74">
        <f>IF($A268="","",IFERROR(_xlfn.MAXIFS('6-Historique'!$D$2:$D$1997,'6-Historique'!$B$2:$B$1997,$A268),""))</f>
        <v>45846</v>
      </c>
      <c r="T268" s="74">
        <f>IF($A268="","",IFERROR(INDEX('4-VGP'!$A$2:$A$334,MATCH($A268,'4-VGP'!$N$2:$N$334,0)),""))</f>
        <v>46093</v>
      </c>
      <c r="W268" s="74">
        <f>IF($T268="","",EDATE($T268,'8-Param'!$Q$2))</f>
        <v>46458</v>
      </c>
    </row>
    <row r="269" spans="1:25" ht="30" customHeight="1" x14ac:dyDescent="0.25">
      <c r="R269" s="81">
        <f>IF($A269="","",IFERROR(_xlfn.MAXIFS('6-Historique'!$D$2:$D$1997,'6-Historique'!$B$2:$B$1997,$A269),""))</f>
        <v>0</v>
      </c>
      <c r="T269" s="81">
        <f>IF($A269="","",IFERROR(INDEX('4-VGP'!$A$2:$A$334,MATCH($A269,'4-VGP'!$N$2:$N$334,0)),""))</f>
        <v>46093</v>
      </c>
      <c r="W269" s="81">
        <f>IF($T269="","",EDATE($T269,'8-Param'!$Q$2))</f>
        <v>46458</v>
      </c>
    </row>
    <row r="270" spans="1:25" ht="30" customHeight="1" x14ac:dyDescent="0.25">
      <c r="R270" s="74">
        <f>IF($A270="","",IFERROR(_xlfn.MAXIFS('6-Historique'!$D$2:$D$1997,'6-Historique'!$B$2:$B$1997,$A270),""))</f>
        <v>0</v>
      </c>
    </row>
    <row r="271" spans="1:25" ht="30" customHeight="1" x14ac:dyDescent="0.25">
      <c r="R271" s="81">
        <f>IF($A271="","",IFERROR(_xlfn.MAXIFS('6-Historique'!$D$2:$D$1997,'6-Historique'!$B$2:$B$1997,$A271),""))</f>
        <v>0</v>
      </c>
    </row>
    <row r="272" spans="1:25" ht="30" customHeight="1" x14ac:dyDescent="0.25">
      <c r="R272" s="74">
        <f>IF($A272="","",IFERROR(_xlfn.MAXIFS('6-Historique'!$D$2:$D$1997,'6-Historique'!$B$2:$B$1997,$A272),""))</f>
        <v>46178</v>
      </c>
    </row>
    <row r="273" spans="1:25" ht="30" customHeight="1" x14ac:dyDescent="0.25">
      <c r="R273" s="81">
        <f>IF($A273="","",IFERROR(_xlfn.MAXIFS('6-Historique'!$D$2:$D$1997,'6-Historique'!$B$2:$B$1997,$A273),""))</f>
        <v>45229</v>
      </c>
    </row>
    <row r="274" spans="1:25" ht="30" customHeight="1" x14ac:dyDescent="0.25">
      <c r="R274" s="74">
        <f>IF($A274="","",IFERROR(_xlfn.MAXIFS('6-Historique'!$D$2:$D$1997,'6-Historique'!$B$2:$B$1997,$A274),""))</f>
        <v>0</v>
      </c>
    </row>
    <row r="275" spans="1:25" ht="30" customHeight="1" x14ac:dyDescent="0.25">
      <c r="R275" s="81">
        <f>IF($A275="","",IFERROR(_xlfn.MAXIFS('6-Historique'!$D$2:$D$1997,'6-Historique'!$B$2:$B$1997,$A275),""))</f>
        <v>0</v>
      </c>
    </row>
    <row r="276" spans="1:25" ht="30" customHeight="1" x14ac:dyDescent="0.25">
      <c r="R276" s="88">
        <f>IF($A276="","",IFERROR(_xlfn.MAXIFS('6-Historique'!$D$2:$D$1997,'6-Historique'!$B$2:$B$1997,$A276),""))</f>
        <v>46225</v>
      </c>
    </row>
    <row r="277" spans="1:25" ht="30" customHeight="1" x14ac:dyDescent="0.25">
      <c r="R277" s="81">
        <f>IF($A277="","",IFERROR(_xlfn.MAXIFS('6-Historique'!$D$2:$D$1997,'6-Historique'!$B$2:$B$1997,$A277),""))</f>
        <v>0</v>
      </c>
    </row>
    <row r="278" spans="1:25" ht="30" customHeight="1" x14ac:dyDescent="0.25">
      <c r="R278" s="74">
        <f>IF($A278="","",IFERROR(_xlfn.MAXIFS('6-Historique'!$D$2:$D$1997,'6-Historique'!$B$2:$B$1997,$A278),""))</f>
        <v>0</v>
      </c>
    </row>
    <row r="279" spans="1:25" ht="30" customHeight="1" x14ac:dyDescent="0.25">
      <c r="R279" s="81">
        <f>IF($A279="","",IFERROR(_xlfn.MAXIFS('6-Historique'!$D$2:$D$1997,'6-Historique'!$B$2:$B$1997,$A279),""))</f>
        <v>45999</v>
      </c>
    </row>
    <row r="280" spans="1:25" ht="30" customHeight="1" x14ac:dyDescent="0.25">
      <c r="R280" s="74">
        <f>IF($A280="","",IFERROR(_xlfn.MAXIFS('6-Historique'!$D$2:$D$1997,'6-Historique'!$B$2:$B$1997,$A280),""))</f>
        <v>0</v>
      </c>
    </row>
    <row r="281" spans="1:25" ht="30" customHeight="1" x14ac:dyDescent="0.25">
      <c r="R281" s="81">
        <f>IF($A281="","",IFERROR(_xlfn.MAXIFS('6-Historique'!$D$2:$D$1997,'6-Historique'!$B$2:$B$1997,$A281),""))</f>
        <v>0</v>
      </c>
    </row>
    <row r="282" spans="1:25" ht="30" customHeight="1" x14ac:dyDescent="0.25">
      <c r="R282" s="74">
        <f>IF($A282="","",IFERROR(_xlfn.MAXIFS('6-Historique'!$D$2:$D$1997,'6-Historique'!$B$2:$B$1997,$A282),""))</f>
        <v>0</v>
      </c>
    </row>
    <row r="283" spans="1:25" ht="30" customHeight="1" x14ac:dyDescent="0.25">
      <c r="R283" s="81">
        <f>IF($A283="","",IFERROR(_xlfn.MAXIFS('6-Historique'!$D$2:$D$1997,'6-Historique'!$B$2:$B$1997,$A283),""))</f>
        <v>0</v>
      </c>
    </row>
    <row r="284" spans="1:25" ht="30" customHeight="1" x14ac:dyDescent="0.25">
      <c r="R284" s="74">
        <f>IF($A284="","",IFERROR(_xlfn.MAXIFS('6-Historique'!$D$2:$D$1997,'6-Historique'!$B$2:$B$1997,$A284),""))</f>
        <v>0</v>
      </c>
    </row>
    <row r="285" spans="1:25" ht="30" customHeight="1" x14ac:dyDescent="0.25">
      <c r="R285" s="81">
        <f>IF($A285="","",IFERROR(_xlfn.MAXIFS('6-Historique'!$D$2:$D$1997,'6-Historique'!$B$2:$B$1997,$A285),""))</f>
        <v>0</v>
      </c>
    </row>
    <row r="286" spans="1:25" ht="30" customHeight="1" x14ac:dyDescent="0.25">
      <c r="R286" s="74">
        <f>IF($A286="","",IFERROR(_xlfn.MAXIFS('6-Historique'!$D$2:$D$1997,'6-Historique'!$B$2:$B$1997,$A286),""))</f>
        <v>0</v>
      </c>
    </row>
    <row r="287" spans="1:25" ht="30" customHeight="1" x14ac:dyDescent="0.25">
      <c r="R287" s="96">
        <f>IF($A287="","",IFERROR(_xlfn.MAXIFS('6-Historique'!$D$2:$D$1997,'6-Historique'!$B$2:$B$1997,$A287),""))</f>
        <v>0</v>
      </c>
    </row>
    <row r="288" spans="1:25" ht="30" customHeight="1" x14ac:dyDescent="0.25">
      <c r="R288" s="88">
        <f>IF($A288="","",IFERROR(_xlfn.MAXIFS('6-Historique'!$D$2:$D$1997,'6-Historique'!$B$2:$B$1997,$A288),""))</f>
        <v>0</v>
      </c>
    </row>
    <row r="289" spans="1:25" ht="30" customHeight="1" x14ac:dyDescent="0.25">
      <c r="R289" s="96">
        <f>IF($A289="","",IFERROR(_xlfn.MAXIFS('6-Historique'!$D$2:$D$1997,'6-Historique'!$B$2:$B$1997,$A289),""))</f>
        <v>0</v>
      </c>
    </row>
    <row r="290" spans="1:25" ht="30" customHeight="1" x14ac:dyDescent="0.25">
      <c r="R290" s="88">
        <f>IF($A290="","",IFERROR(_xlfn.MAXIFS('6-Historique'!$D$2:$D$1997,'6-Historique'!$B$2:$B$1997,$A290),""))</f>
        <v>0</v>
      </c>
    </row>
    <row r="291" spans="1:25" ht="30" customHeight="1" x14ac:dyDescent="0.25">
      <c r="R291" s="96">
        <f>IF($A291="","",IFERROR(_xlfn.MAXIFS('6-Historique'!$D$2:$D$1997,'6-Historique'!$B$2:$B$1997,$A291),""))</f>
        <v>0</v>
      </c>
    </row>
    <row r="292" spans="1:25" ht="30" customHeight="1" x14ac:dyDescent="0.25">
      <c r="R292" s="88">
        <f>IF($A292="","",IFERROR(_xlfn.MAXIFS('6-Historique'!$D$2:$D$1997,'6-Historique'!$B$2:$B$1997,$A292),""))</f>
        <v>0</v>
      </c>
    </row>
    <row r="293" spans="1:25" ht="30" customHeight="1" x14ac:dyDescent="0.25">
      <c r="R293" s="96">
        <f>IF($A293="","",IFERROR(_xlfn.MAXIFS('6-Historique'!$D$2:$D$1997,'6-Historique'!$B$2:$B$1997,$A293),""))</f>
        <v>0</v>
      </c>
    </row>
    <row r="294" spans="1:25" ht="30" customHeight="1" x14ac:dyDescent="0.25"/>
    <row r="295" spans="1:25" ht="30" customHeight="1" x14ac:dyDescent="0.25"/>
    <row r="296" spans="1:25" ht="30" customHeight="1" x14ac:dyDescent="0.25"/>
    <row r="297" spans="1:25" ht="30" customHeight="1" x14ac:dyDescent="0.25"/>
    <row r="298" spans="1:25" ht="30" customHeight="1" x14ac:dyDescent="0.25"/>
    <row r="299" spans="1:25" ht="30" customHeight="1" x14ac:dyDescent="0.25"/>
    <row r="300" spans="1:25" ht="30" customHeight="1" x14ac:dyDescent="0.25"/>
    <row r="301" spans="1:25" ht="30" customHeight="1" x14ac:dyDescent="0.25"/>
    <row r="302" spans="1:25" ht="30" customHeight="1" x14ac:dyDescent="0.25"/>
    <row r="303" spans="1:25" ht="30" customHeight="1" x14ac:dyDescent="0.25"/>
    <row r="304" spans="1:25" ht="30" customHeight="1" x14ac:dyDescent="0.25"/>
    <row r="305" spans="1:25" ht="30" customHeight="1" x14ac:dyDescent="0.25"/>
    <row r="306" spans="1:25" ht="30" customHeight="1" x14ac:dyDescent="0.25"/>
    <row r="307" spans="1:25" ht="30" customHeight="1" x14ac:dyDescent="0.25"/>
    <row r="308" spans="1:25" ht="30" customHeight="1" x14ac:dyDescent="0.25"/>
    <row r="309" spans="1:25" ht="30" customHeight="1" x14ac:dyDescent="0.25"/>
    <row r="310" spans="1:25" ht="30" customHeight="1" x14ac:dyDescent="0.25"/>
    <row r="311" spans="1:25" ht="30" customHeight="1" x14ac:dyDescent="0.25"/>
    <row r="312" spans="1:25" ht="30" customHeight="1" x14ac:dyDescent="0.25"/>
    <row r="313" spans="1:25" ht="30" customHeight="1" x14ac:dyDescent="0.25"/>
    <row r="314" spans="1:25" ht="30" customHeight="1" x14ac:dyDescent="0.25"/>
    <row r="315" spans="1:25" ht="30" customHeight="1" x14ac:dyDescent="0.25"/>
    <row r="316" spans="1:25" ht="30" customHeight="1" x14ac:dyDescent="0.25"/>
    <row r="317" spans="1:25" ht="30" customHeight="1" x14ac:dyDescent="0.25"/>
    <row r="318" spans="1:25" ht="30" customHeight="1" x14ac:dyDescent="0.25"/>
    <row r="319" spans="1:25" ht="30" customHeight="1" x14ac:dyDescent="0.25"/>
    <row r="320" spans="1:25" ht="30" customHeight="1" x14ac:dyDescent="0.25"/>
    <row r="321" spans="1:25" ht="30" customHeight="1" x14ac:dyDescent="0.25"/>
    <row r="322" spans="1:25" ht="30" customHeight="1" x14ac:dyDescent="0.25"/>
    <row r="323" spans="1:25" ht="30" customHeight="1" x14ac:dyDescent="0.25"/>
    <row r="324" spans="1:25" ht="30" customHeight="1" x14ac:dyDescent="0.25"/>
    <row r="325" spans="1:25" ht="30" customHeight="1" x14ac:dyDescent="0.25"/>
    <row r="326" spans="1:25" ht="30" customHeight="1" x14ac:dyDescent="0.25"/>
    <row r="327" spans="1:25" ht="30" customHeight="1" x14ac:dyDescent="0.25"/>
    <row r="328" spans="1:25" ht="30" customHeight="1" x14ac:dyDescent="0.25"/>
    <row r="329" spans="1:25" ht="30" customHeight="1" x14ac:dyDescent="0.25"/>
    <row r="330" spans="1:25" ht="30" customHeight="1" x14ac:dyDescent="0.25"/>
    <row r="331" spans="1:25" ht="30" customHeight="1" x14ac:dyDescent="0.25"/>
    <row r="332" spans="1:25" ht="30" customHeight="1" x14ac:dyDescent="0.25"/>
    <row r="333" spans="1:25" ht="30" customHeight="1" x14ac:dyDescent="0.25"/>
    <row r="334" spans="1:25" ht="30" customHeight="1" x14ac:dyDescent="0.25"/>
    <row r="335" spans="1:25" ht="30" customHeight="1" x14ac:dyDescent="0.25"/>
    <row r="336" spans="1:25" ht="30" customHeight="1" x14ac:dyDescent="0.25"/>
    <row r="337" spans="1:25" ht="30" customHeight="1" x14ac:dyDescent="0.25"/>
    <row r="338" spans="1:25" ht="30" customHeight="1" x14ac:dyDescent="0.25"/>
    <row r="339" spans="1:25" ht="30" customHeight="1" x14ac:dyDescent="0.25"/>
    <row r="340" spans="1:25" ht="30" customHeight="1" x14ac:dyDescent="0.25"/>
    <row r="341" spans="1:25" ht="30" customHeight="1" x14ac:dyDescent="0.25"/>
    <row r="342" spans="1:25" ht="30" customHeight="1" x14ac:dyDescent="0.25"/>
    <row r="343" spans="1:25" ht="30" customHeight="1" x14ac:dyDescent="0.25"/>
    <row r="344" spans="1:25" ht="30" customHeight="1" x14ac:dyDescent="0.25"/>
    <row r="345" spans="1:25" ht="30" customHeight="1" x14ac:dyDescent="0.25"/>
    <row r="346" spans="1:25" ht="30" customHeight="1" x14ac:dyDescent="0.25"/>
    <row r="347" spans="1:25" ht="30" customHeight="1" x14ac:dyDescent="0.25"/>
    <row r="348" spans="1:25" ht="30" customHeight="1" x14ac:dyDescent="0.25"/>
    <row r="349" spans="1:25" ht="30" customHeight="1" x14ac:dyDescent="0.25"/>
    <row r="350" spans="1:25" ht="30" customHeight="1" x14ac:dyDescent="0.25"/>
    <row r="351" spans="1:25" ht="30" customHeight="1" x14ac:dyDescent="0.25"/>
    <row r="352" spans="1:25" ht="30" customHeight="1" x14ac:dyDescent="0.25"/>
    <row r="353" spans="1:25" ht="30" customHeight="1" x14ac:dyDescent="0.25"/>
    <row r="354" spans="1:25" ht="30" customHeight="1" x14ac:dyDescent="0.25"/>
    <row r="355" spans="1:25" ht="30" customHeight="1" x14ac:dyDescent="0.25"/>
    <row r="356" spans="1:25" ht="30" customHeight="1" x14ac:dyDescent="0.25"/>
    <row r="357" spans="1:25" ht="30" customHeight="1" x14ac:dyDescent="0.25"/>
    <row r="358" spans="1:25" ht="30" customHeight="1" x14ac:dyDescent="0.25"/>
    <row r="359" spans="1:25" ht="30" customHeight="1" x14ac:dyDescent="0.25"/>
    <row r="360" spans="1:25" ht="30" customHeight="1" x14ac:dyDescent="0.25"/>
    <row r="361" spans="1:25" ht="30" customHeight="1" x14ac:dyDescent="0.25"/>
    <row r="362" spans="1:25" ht="30" customHeight="1" x14ac:dyDescent="0.25"/>
    <row r="363" spans="1:25" ht="30" customHeight="1" x14ac:dyDescent="0.25"/>
    <row r="364" spans="1:25" ht="30" customHeight="1" x14ac:dyDescent="0.25"/>
    <row r="365" spans="1:25" ht="30" customHeight="1" x14ac:dyDescent="0.25"/>
    <row r="366" spans="1:25" ht="30" customHeight="1" x14ac:dyDescent="0.25"/>
    <row r="367" spans="1:25" ht="30" customHeight="1" x14ac:dyDescent="0.25"/>
    <row r="368" spans="1:25" ht="30" customHeight="1" x14ac:dyDescent="0.25"/>
    <row r="369" spans="1:25" ht="30" customHeight="1" x14ac:dyDescent="0.25"/>
    <row r="370" spans="1:25" ht="30" customHeight="1" x14ac:dyDescent="0.25"/>
    <row r="371" spans="1:25" ht="30" customHeight="1" x14ac:dyDescent="0.25"/>
    <row r="372" spans="1:25" ht="30" customHeight="1" x14ac:dyDescent="0.25"/>
    <row r="373" spans="1:25" ht="30" customHeight="1" x14ac:dyDescent="0.25"/>
    <row r="374" spans="1:25" ht="30" customHeight="1" x14ac:dyDescent="0.25"/>
    <row r="375" spans="1:25" ht="30" customHeight="1" x14ac:dyDescent="0.25"/>
    <row r="376" spans="1:25" ht="30" customHeight="1" x14ac:dyDescent="0.25"/>
    <row r="377" spans="1:25" ht="30" customHeight="1" x14ac:dyDescent="0.25"/>
    <row r="378" spans="1:25" ht="30" customHeight="1" x14ac:dyDescent="0.25"/>
    <row r="379" spans="1:25" ht="30" customHeight="1" x14ac:dyDescent="0.25"/>
    <row r="380" spans="1:25" ht="30" customHeight="1" x14ac:dyDescent="0.25"/>
    <row r="381" spans="1:25" ht="30" customHeight="1" x14ac:dyDescent="0.25"/>
    <row r="382" spans="1:25" ht="30" customHeight="1" x14ac:dyDescent="0.25"/>
    <row r="383" spans="1:25" ht="30" customHeight="1" x14ac:dyDescent="0.25"/>
    <row r="384" spans="1:25" ht="30" customHeight="1" x14ac:dyDescent="0.25"/>
    <row r="385" spans="1:25" ht="30" customHeight="1" x14ac:dyDescent="0.25"/>
    <row r="386" spans="1:25" ht="30" customHeight="1" x14ac:dyDescent="0.25"/>
    <row r="387" spans="1:25" ht="30" customHeight="1" x14ac:dyDescent="0.25"/>
    <row r="388" spans="1:25" ht="30" customHeight="1" x14ac:dyDescent="0.25"/>
    <row r="389" spans="1:25" ht="30" customHeight="1" x14ac:dyDescent="0.25"/>
    <row r="390" spans="1:25" ht="30" customHeight="1" x14ac:dyDescent="0.25"/>
    <row r="391" spans="1:25" ht="30" customHeight="1" x14ac:dyDescent="0.25"/>
    <row r="392" spans="1:25" ht="30" customHeight="1" x14ac:dyDescent="0.25"/>
    <row r="393" spans="1:25" ht="30" customHeight="1" x14ac:dyDescent="0.25"/>
    <row r="394" spans="1:25" ht="30" customHeight="1" x14ac:dyDescent="0.25"/>
    <row r="395" spans="1:25" ht="30" customHeight="1" x14ac:dyDescent="0.25"/>
    <row r="396" spans="1:25" ht="30" customHeight="1" x14ac:dyDescent="0.25"/>
    <row r="397" spans="1:25" ht="30" customHeight="1" x14ac:dyDescent="0.25"/>
    <row r="398" spans="1:25" ht="30" customHeight="1" x14ac:dyDescent="0.25"/>
    <row r="399" spans="1:25" ht="30" customHeight="1" x14ac:dyDescent="0.25"/>
    <row r="400" spans="1:25" ht="30" customHeight="1" x14ac:dyDescent="0.25"/>
    <row r="401" spans="1:25" ht="30" customHeight="1" x14ac:dyDescent="0.25"/>
    <row r="402" spans="1:25" ht="30" customHeight="1" x14ac:dyDescent="0.25"/>
    <row r="403" spans="1:25" ht="30" customHeight="1" x14ac:dyDescent="0.25"/>
    <row r="404" spans="1:25" ht="30" customHeight="1" x14ac:dyDescent="0.25"/>
    <row r="405" spans="1:25" ht="30" customHeight="1" x14ac:dyDescent="0.25"/>
    <row r="406" spans="1:25" ht="30" customHeight="1" x14ac:dyDescent="0.25"/>
    <row r="407" spans="1:25" ht="30" customHeight="1" x14ac:dyDescent="0.25"/>
    <row r="408" spans="1:25" ht="30" customHeight="1" x14ac:dyDescent="0.25"/>
    <row r="409" spans="1:25" ht="30" customHeight="1" x14ac:dyDescent="0.25"/>
    <row r="410" spans="1:25" ht="30" customHeight="1" x14ac:dyDescent="0.25"/>
    <row r="411" spans="1:25" ht="30" customHeight="1" x14ac:dyDescent="0.25"/>
    <row r="412" spans="1:25" ht="30" customHeight="1" x14ac:dyDescent="0.25"/>
    <row r="413" spans="1:25" ht="30" customHeight="1" x14ac:dyDescent="0.25"/>
    <row r="414" spans="1:25" ht="30" customHeight="1" x14ac:dyDescent="0.25"/>
    <row r="415" spans="1:25" ht="30" customHeight="1" x14ac:dyDescent="0.25"/>
    <row r="416" spans="1:25" ht="30" customHeight="1" x14ac:dyDescent="0.25"/>
    <row r="417" spans="1:25" ht="30" customHeight="1" x14ac:dyDescent="0.25"/>
    <row r="418" spans="1:25" ht="30" customHeight="1" x14ac:dyDescent="0.25"/>
    <row r="419" spans="1:25" ht="30" customHeight="1" x14ac:dyDescent="0.25"/>
    <row r="420" spans="1:25" ht="30" customHeight="1" x14ac:dyDescent="0.25"/>
    <row r="421" spans="1:25" ht="30" customHeight="1" x14ac:dyDescent="0.25"/>
    <row r="422" spans="1:25" ht="30" customHeight="1" x14ac:dyDescent="0.25"/>
    <row r="423" spans="1:25" ht="30" customHeight="1" x14ac:dyDescent="0.25"/>
    <row r="424" spans="1:25" ht="30" customHeight="1" x14ac:dyDescent="0.25"/>
    <row r="425" spans="1:25" ht="30" customHeight="1" x14ac:dyDescent="0.25"/>
    <row r="426" spans="1:25" ht="30" customHeight="1" x14ac:dyDescent="0.25"/>
    <row r="427" spans="1:25" ht="30" customHeight="1" x14ac:dyDescent="0.25"/>
    <row r="428" spans="1:25" ht="30" customHeight="1" x14ac:dyDescent="0.25"/>
    <row r="429" spans="1:25" ht="30" customHeight="1" x14ac:dyDescent="0.25"/>
    <row r="430" spans="1:25" ht="30" customHeight="1" x14ac:dyDescent="0.25"/>
    <row r="431" spans="1:25" ht="30" customHeight="1" x14ac:dyDescent="0.25"/>
    <row r="432" spans="1:25" ht="30" customHeight="1" x14ac:dyDescent="0.25"/>
    <row r="433" spans="1:25" ht="30" customHeight="1" x14ac:dyDescent="0.25"/>
    <row r="434" spans="1:25" ht="30" customHeight="1" x14ac:dyDescent="0.25"/>
    <row r="435" spans="1:25" ht="30" customHeight="1" x14ac:dyDescent="0.25"/>
    <row r="436" spans="1:25" ht="30" customHeight="1" x14ac:dyDescent="0.25"/>
    <row r="437" spans="1:25" ht="30" customHeight="1" x14ac:dyDescent="0.25"/>
    <row r="438" spans="1:25" ht="30" customHeight="1" x14ac:dyDescent="0.25"/>
    <row r="439" spans="1:25" ht="30" customHeight="1" x14ac:dyDescent="0.25"/>
    <row r="440" spans="1:25" ht="30" customHeight="1" x14ac:dyDescent="0.25"/>
    <row r="441" spans="1:25" ht="30" customHeight="1" x14ac:dyDescent="0.25"/>
    <row r="442" spans="1:25" ht="30" customHeight="1" x14ac:dyDescent="0.25"/>
    <row r="443" spans="1:25" ht="30" customHeight="1" x14ac:dyDescent="0.25"/>
    <row r="444" spans="1:25" ht="30" customHeight="1" x14ac:dyDescent="0.25"/>
    <row r="445" spans="1:25" ht="30" customHeight="1" x14ac:dyDescent="0.25"/>
    <row r="446" spans="1:25" ht="30" customHeight="1" x14ac:dyDescent="0.25"/>
    <row r="447" spans="1:25" ht="30" customHeight="1" x14ac:dyDescent="0.25"/>
    <row r="448" spans="1:25" ht="30" customHeight="1" x14ac:dyDescent="0.25"/>
    <row r="449" spans="1:25" ht="30" customHeight="1" x14ac:dyDescent="0.25"/>
    <row r="450" spans="1:25" ht="30" customHeight="1" x14ac:dyDescent="0.25"/>
    <row r="451" spans="1:25" ht="30" customHeight="1" x14ac:dyDescent="0.25"/>
    <row r="452" spans="1:25" ht="30" customHeight="1" x14ac:dyDescent="0.25"/>
    <row r="453" spans="1:25" ht="30" customHeight="1" x14ac:dyDescent="0.25"/>
    <row r="454" spans="1:25" ht="30" customHeight="1" x14ac:dyDescent="0.25"/>
    <row r="455" spans="1:25" ht="30" customHeight="1" x14ac:dyDescent="0.25"/>
    <row r="456" spans="1:25" ht="30" customHeight="1" x14ac:dyDescent="0.25"/>
    <row r="457" spans="1:25" ht="30" customHeight="1" x14ac:dyDescent="0.25"/>
    <row r="458" spans="1:25" ht="30" customHeight="1" x14ac:dyDescent="0.25"/>
    <row r="459" spans="1:25" ht="30" customHeight="1" x14ac:dyDescent="0.25"/>
    <row r="460" spans="1:25" ht="30" customHeight="1" x14ac:dyDescent="0.25"/>
    <row r="461" spans="1:25" ht="30" customHeight="1" x14ac:dyDescent="0.25"/>
    <row r="462" spans="1:25" ht="30" customHeight="1" x14ac:dyDescent="0.25"/>
    <row r="463" spans="1:25" ht="30" customHeight="1" x14ac:dyDescent="0.25"/>
    <row r="464" spans="1:25" ht="30" customHeight="1" x14ac:dyDescent="0.25"/>
    <row r="465" spans="1:25" ht="30" customHeight="1" x14ac:dyDescent="0.25"/>
    <row r="466" spans="1:25" ht="30" customHeight="1" x14ac:dyDescent="0.25"/>
    <row r="467" spans="1:25" ht="30" customHeight="1" x14ac:dyDescent="0.25"/>
    <row r="468" spans="1:25" ht="30" customHeight="1" x14ac:dyDescent="0.25"/>
    <row r="469" spans="1:25" ht="30" customHeight="1" x14ac:dyDescent="0.25"/>
    <row r="470" spans="1:25" ht="30" customHeight="1" x14ac:dyDescent="0.25"/>
    <row r="471" spans="1:25" ht="30" customHeight="1" x14ac:dyDescent="0.25"/>
    <row r="472" spans="1:25" ht="30" customHeight="1" x14ac:dyDescent="0.25"/>
    <row r="473" spans="1:25" ht="30" customHeight="1" x14ac:dyDescent="0.25"/>
    <row r="474" spans="1:25" ht="30" customHeight="1" x14ac:dyDescent="0.25"/>
    <row r="475" spans="1:25" ht="30" customHeight="1" x14ac:dyDescent="0.25"/>
    <row r="476" spans="1:25" ht="30" customHeight="1" x14ac:dyDescent="0.25"/>
    <row r="477" spans="1:25" ht="30" customHeight="1" x14ac:dyDescent="0.25"/>
    <row r="478" spans="1:25" ht="30" customHeight="1" x14ac:dyDescent="0.25"/>
    <row r="479" spans="1:25" ht="30" customHeight="1" x14ac:dyDescent="0.25"/>
    <row r="480" spans="1:25" ht="30" customHeight="1" x14ac:dyDescent="0.25"/>
    <row r="481" spans="1:25" ht="30" customHeight="1" x14ac:dyDescent="0.25"/>
    <row r="482" spans="1:25" ht="30" customHeight="1" x14ac:dyDescent="0.25"/>
    <row r="483" spans="1:25" ht="30" customHeight="1" x14ac:dyDescent="0.25"/>
    <row r="484" spans="1:25" ht="30" customHeight="1" x14ac:dyDescent="0.25"/>
    <row r="485" spans="1:25" ht="30" customHeight="1" x14ac:dyDescent="0.25"/>
    <row r="486" spans="1:25" ht="30" customHeight="1" x14ac:dyDescent="0.25"/>
    <row r="487" spans="1:25" ht="30" customHeight="1" x14ac:dyDescent="0.25"/>
    <row r="488" spans="1:25" ht="30" customHeight="1" x14ac:dyDescent="0.25"/>
    <row r="489" spans="1:25" ht="30" customHeight="1" x14ac:dyDescent="0.25"/>
    <row r="490" spans="1:25" ht="30" customHeight="1" x14ac:dyDescent="0.25"/>
    <row r="491" spans="1:25" ht="30" customHeight="1" x14ac:dyDescent="0.25"/>
    <row r="492" spans="1:25" ht="30" customHeight="1" x14ac:dyDescent="0.25"/>
    <row r="493" spans="1:25" ht="30" customHeight="1" x14ac:dyDescent="0.25"/>
    <row r="494" spans="1:25" ht="30" customHeight="1" x14ac:dyDescent="0.25"/>
    <row r="495" spans="1:25" ht="30" customHeight="1" x14ac:dyDescent="0.25"/>
    <row r="496" spans="1:25" ht="30" customHeight="1" x14ac:dyDescent="0.25"/>
    <row r="497" spans="1:25" ht="30" customHeight="1" x14ac:dyDescent="0.25"/>
    <row r="498" spans="1:25" ht="30" customHeight="1" x14ac:dyDescent="0.25"/>
    <row r="499" spans="1:25" ht="30" customHeight="1" x14ac:dyDescent="0.25"/>
    <row r="500" spans="1:25" ht="30" customHeight="1" x14ac:dyDescent="0.25"/>
    <row r="501" spans="1:25" ht="30" customHeight="1" x14ac:dyDescent="0.25"/>
    <row r="502" spans="1:25" ht="30" customHeight="1" x14ac:dyDescent="0.25"/>
    <row r="503" spans="1:25" ht="30" customHeight="1" x14ac:dyDescent="0.25"/>
    <row r="504" spans="1:25" ht="30" customHeight="1" x14ac:dyDescent="0.25"/>
    <row r="505" spans="1:25" ht="30" customHeight="1" x14ac:dyDescent="0.25"/>
    <row r="506" spans="1:25" ht="30" customHeight="1" x14ac:dyDescent="0.25"/>
    <row r="507" spans="1:25" ht="30" customHeight="1" x14ac:dyDescent="0.25"/>
    <row r="508" spans="1:25" ht="30" customHeight="1" x14ac:dyDescent="0.25"/>
    <row r="509" spans="1:25" ht="30" customHeight="1" x14ac:dyDescent="0.25"/>
    <row r="510" spans="1:25" ht="30" customHeight="1" x14ac:dyDescent="0.25"/>
    <row r="511" spans="1:25" ht="30" customHeight="1" x14ac:dyDescent="0.25"/>
    <row r="512" spans="1:25" ht="30" customHeight="1" x14ac:dyDescent="0.25"/>
    <row r="513" spans="1:25" ht="30" customHeight="1" x14ac:dyDescent="0.25"/>
    <row r="514" spans="1:25" ht="30" customHeight="1" x14ac:dyDescent="0.25"/>
    <row r="515" spans="1:25" ht="30" customHeight="1" x14ac:dyDescent="0.25"/>
    <row r="516" spans="1:25" ht="30" customHeight="1" x14ac:dyDescent="0.25"/>
    <row r="517" spans="1:25" ht="30" customHeight="1" x14ac:dyDescent="0.25"/>
    <row r="518" spans="1:25" ht="30" customHeight="1" x14ac:dyDescent="0.25"/>
    <row r="519" spans="1:25" ht="30" customHeight="1" x14ac:dyDescent="0.25"/>
    <row r="520" spans="1:25" ht="30" customHeight="1" x14ac:dyDescent="0.25"/>
    <row r="521" spans="1:25" ht="30" customHeight="1" x14ac:dyDescent="0.25"/>
    <row r="522" spans="1:25" ht="30" customHeight="1" x14ac:dyDescent="0.25"/>
    <row r="523" spans="1:25" ht="30" customHeight="1" x14ac:dyDescent="0.25"/>
    <row r="524" spans="1:25" ht="30" customHeight="1" x14ac:dyDescent="0.25"/>
    <row r="525" spans="1:25" ht="30" customHeight="1" x14ac:dyDescent="0.25"/>
    <row r="526" spans="1:25" ht="30" customHeight="1" x14ac:dyDescent="0.25"/>
    <row r="527" spans="1:25" ht="30" customHeight="1" x14ac:dyDescent="0.25"/>
    <row r="528" spans="1:25" ht="30" customHeight="1" x14ac:dyDescent="0.25"/>
    <row r="529" spans="1:25" ht="30" customHeight="1" x14ac:dyDescent="0.25"/>
    <row r="530" spans="1:25" ht="30" customHeight="1" x14ac:dyDescent="0.25"/>
    <row r="531" spans="1:25" ht="30" customHeight="1" x14ac:dyDescent="0.25"/>
    <row r="532" spans="1:25" ht="30" customHeight="1" x14ac:dyDescent="0.25"/>
    <row r="533" spans="1:25" ht="30" customHeight="1" x14ac:dyDescent="0.25"/>
    <row r="534" spans="1:25" ht="30" customHeight="1" x14ac:dyDescent="0.25"/>
    <row r="535" spans="1:25" ht="30" customHeight="1" x14ac:dyDescent="0.25"/>
    <row r="536" spans="1:25" ht="30" customHeight="1" x14ac:dyDescent="0.25"/>
    <row r="537" spans="1:25" ht="30" customHeight="1" x14ac:dyDescent="0.25"/>
    <row r="538" spans="1:25" ht="30" customHeight="1" x14ac:dyDescent="0.25"/>
    <row r="539" spans="1:25" ht="30" customHeight="1" x14ac:dyDescent="0.25"/>
    <row r="540" spans="1:25" ht="30" customHeight="1" x14ac:dyDescent="0.25"/>
    <row r="541" spans="1:25" ht="30" customHeight="1" x14ac:dyDescent="0.25"/>
    <row r="542" spans="1:25" ht="30" customHeight="1" x14ac:dyDescent="0.25"/>
    <row r="543" spans="1:25" ht="30" customHeight="1" x14ac:dyDescent="0.25"/>
    <row r="544" spans="1:25" ht="30" customHeight="1" x14ac:dyDescent="0.25"/>
    <row r="545" spans="1:25" ht="30" customHeight="1" x14ac:dyDescent="0.25"/>
    <row r="546" spans="1:25" ht="30" customHeight="1" x14ac:dyDescent="0.25"/>
    <row r="547" spans="1:25" ht="30" customHeight="1" x14ac:dyDescent="0.25"/>
    <row r="548" spans="1:25" ht="30" customHeight="1" x14ac:dyDescent="0.25"/>
    <row r="549" spans="1:25" ht="30" customHeight="1" x14ac:dyDescent="0.25"/>
    <row r="550" spans="1:25" ht="30" customHeight="1" x14ac:dyDescent="0.25"/>
    <row r="551" spans="1:25" ht="30" customHeight="1" x14ac:dyDescent="0.25"/>
    <row r="552" spans="1:25" ht="30" customHeight="1" x14ac:dyDescent="0.25"/>
    <row r="553" spans="1:25" ht="30" customHeight="1" x14ac:dyDescent="0.25"/>
    <row r="554" spans="1:25" ht="30" customHeight="1" x14ac:dyDescent="0.25"/>
    <row r="555" spans="1:25" ht="30" customHeight="1" x14ac:dyDescent="0.25"/>
    <row r="556" spans="1:25" ht="30" customHeight="1" x14ac:dyDescent="0.25"/>
    <row r="557" spans="1:25" ht="30" customHeight="1" x14ac:dyDescent="0.25"/>
    <row r="558" spans="1:25" ht="30" customHeight="1" x14ac:dyDescent="0.25"/>
    <row r="559" spans="1:25" ht="30" customHeight="1" x14ac:dyDescent="0.25"/>
    <row r="560" spans="1:25" ht="30" customHeight="1" x14ac:dyDescent="0.25"/>
    <row r="561" spans="1:25" ht="30" customHeight="1" x14ac:dyDescent="0.25"/>
    <row r="562" spans="1:25" ht="30" customHeight="1" x14ac:dyDescent="0.25"/>
    <row r="563" spans="1:25" ht="30" customHeight="1" x14ac:dyDescent="0.25"/>
    <row r="564" spans="1:25" ht="30" customHeight="1" x14ac:dyDescent="0.25"/>
    <row r="565" spans="1:25" ht="30" customHeight="1" x14ac:dyDescent="0.25"/>
    <row r="566" spans="1:25" ht="30" customHeight="1" x14ac:dyDescent="0.25"/>
    <row r="567" spans="1:25" ht="30" customHeight="1" x14ac:dyDescent="0.25"/>
    <row r="568" spans="1:25" ht="30" customHeight="1" x14ac:dyDescent="0.25"/>
    <row r="569" spans="1:25" ht="30" customHeight="1" x14ac:dyDescent="0.25"/>
    <row r="570" spans="1:25" ht="30" customHeight="1" x14ac:dyDescent="0.25"/>
    <row r="571" spans="1:25" ht="30" customHeight="1" x14ac:dyDescent="0.25"/>
    <row r="572" spans="1:25" ht="30" customHeight="1" x14ac:dyDescent="0.25"/>
    <row r="573" spans="1:25" ht="30" customHeight="1" x14ac:dyDescent="0.25"/>
    <row r="574" spans="1:25" ht="30" customHeight="1" x14ac:dyDescent="0.25"/>
    <row r="575" spans="1:25" ht="30" customHeight="1" x14ac:dyDescent="0.25"/>
    <row r="576" spans="1:25" ht="30" customHeight="1" x14ac:dyDescent="0.25"/>
    <row r="577" spans="1:25" ht="30" customHeight="1" x14ac:dyDescent="0.25"/>
    <row r="578" spans="1:25" ht="30" customHeight="1" x14ac:dyDescent="0.25"/>
    <row r="579" spans="1:25" ht="30" customHeight="1" x14ac:dyDescent="0.25"/>
    <row r="580" spans="1:25" ht="30" customHeight="1" x14ac:dyDescent="0.25"/>
    <row r="581" spans="1:25" ht="30" customHeight="1" x14ac:dyDescent="0.25"/>
    <row r="582" spans="1:25" ht="30" customHeight="1" x14ac:dyDescent="0.25"/>
    <row r="583" spans="1:25" ht="30" customHeight="1" x14ac:dyDescent="0.25"/>
    <row r="584" spans="1:25" ht="30" customHeight="1" x14ac:dyDescent="0.25"/>
    <row r="585" spans="1:25" ht="30" customHeight="1" x14ac:dyDescent="0.25"/>
    <row r="586" spans="1:25" ht="30" customHeight="1" x14ac:dyDescent="0.25"/>
    <row r="587" spans="1:25" ht="30" customHeight="1" x14ac:dyDescent="0.25"/>
    <row r="588" spans="1:25" ht="30" customHeight="1" x14ac:dyDescent="0.25"/>
    <row r="589" spans="1:25" ht="30" customHeight="1" x14ac:dyDescent="0.25"/>
    <row r="590" spans="1:25" ht="30" customHeight="1" x14ac:dyDescent="0.25"/>
    <row r="591" spans="1:25" ht="30" customHeight="1" x14ac:dyDescent="0.25"/>
    <row r="592" spans="1:25" ht="30" customHeight="1" x14ac:dyDescent="0.25"/>
    <row r="593" spans="1:25" ht="30" customHeight="1" x14ac:dyDescent="0.25"/>
    <row r="594" spans="1:25" ht="30" customHeight="1" x14ac:dyDescent="0.25"/>
    <row r="595" spans="1:25" ht="30" customHeight="1" x14ac:dyDescent="0.25"/>
    <row r="596" spans="1:25" ht="30" customHeight="1" x14ac:dyDescent="0.25"/>
    <row r="597" spans="1:25" ht="30" customHeight="1" x14ac:dyDescent="0.25"/>
    <row r="598" spans="1:25" ht="30" customHeight="1" x14ac:dyDescent="0.25"/>
    <row r="599" spans="1:25" ht="30" customHeight="1" x14ac:dyDescent="0.25"/>
    <row r="600" spans="1:25" ht="30" customHeight="1" x14ac:dyDescent="0.25"/>
  </sheetData>
  <sheetProtection sheet="1" formatCells="0" formatColumns="0" formatRows="0" sort="0" autoFilter="0"/>
  <autoFilter ref="A1:Y600" xr:uid="{00000000-0009-0000-0000-000003000000}"/>
  <conditionalFormatting sqref="J2:J600">
    <cfRule type="cellIs" dxfId="2" priority="4" operator="equal">
      <formula>"En panne"</formula>
    </cfRule>
  </conditionalFormatting>
  <conditionalFormatting sqref="X2:X600">
    <cfRule type="cellIs" dxfId="1" priority="2" operator="equal">
      <formula>"VGP EN RETARD"</formula>
    </cfRule>
    <cfRule type="cellIs" dxfId="0" priority="3" operator="equal">
      <formula>"VGP à programmer"</formula>
    </cfRule>
  </conditionalFormatting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300-000000000000}">
          <x14:formula1>
            <xm:f>'7-Clients'!$I$2:$I$622</xm:f>
          </x14:formula1>
          <x14:formula2>
            <xm:f>0</xm:f>
          </x14:formula2>
          <xm:sqref>B2:B600</xm:sqref>
        </x14:dataValidation>
        <x14:dataValidation type="list" allowBlank="1" xr:uid="{00000000-0002-0000-0300-000001000000}">
          <x14:formula1>
            <xm:f>'7-Clients'!$J$2:$J$60</xm:f>
          </x14:formula1>
          <x14:formula2>
            <xm:f>0</xm:f>
          </x14:formula2>
          <xm:sqref>C2:C600</xm:sqref>
        </x14:dataValidation>
        <x14:dataValidation type="list" allowBlank="1" xr:uid="{00000000-0002-0000-0300-000002000000}">
          <x14:formula1>
            <xm:f>'8-Param'!$A$2:$A$60</xm:f>
          </x14:formula1>
          <x14:formula2>
            <xm:f>0</xm:f>
          </x14:formula2>
          <xm:sqref>E2:E600</xm:sqref>
        </x14:dataValidation>
        <x14:dataValidation type="list" allowBlank="1" xr:uid="{00000000-0002-0000-0300-000003000000}">
          <x14:formula1>
            <xm:f>'8-Param'!$B$2:$B$80</xm:f>
          </x14:formula1>
          <x14:formula2>
            <xm:f>0</xm:f>
          </x14:formula2>
          <xm:sqref>F2:F600</xm:sqref>
        </x14:dataValidation>
        <x14:dataValidation type="list" allowBlank="1" xr:uid="{00000000-0002-0000-0300-000004000000}">
          <x14:formula1>
            <xm:f>'8-Param'!$I$2:$I$20</xm:f>
          </x14:formula1>
          <x14:formula2>
            <xm:f>0</xm:f>
          </x14:formula2>
          <xm:sqref>J2:J600</xm:sqref>
        </x14:dataValidation>
        <x14:dataValidation type="list" allowBlank="1" xr:uid="{00000000-0002-0000-0300-000005000000}">
          <x14:formula1>
            <xm:f>'8-Param'!$J$2:$J$20</xm:f>
          </x14:formula1>
          <x14:formula2>
            <xm:f>0</xm:f>
          </x14:formula2>
          <xm:sqref>K2:K600</xm:sqref>
        </x14:dataValidation>
        <x14:dataValidation type="list" allowBlank="1" xr:uid="{00000000-0002-0000-0300-000006000000}">
          <x14:formula1>
            <xm:f>'8-Param'!$K$2:$K$20</xm:f>
          </x14:formula1>
          <x14:formula2>
            <xm:f>0</xm:f>
          </x14:formula2>
          <xm:sqref>L2:L600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34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13" customWidth="1"/>
    <col min="2" max="2" width="16" customWidth="1"/>
    <col min="3" max="3" width="18" customWidth="1"/>
    <col min="4" max="6" width="20" customWidth="1"/>
    <col min="7" max="7" width="12" customWidth="1"/>
    <col min="8" max="8" width="38" customWidth="1"/>
    <col min="9" max="9" width="16" customWidth="1"/>
    <col min="10" max="10" width="20" customWidth="1"/>
    <col min="11" max="11" width="60" customWidth="1"/>
    <col min="12" max="12" width="10" customWidth="1"/>
    <col min="13" max="13" width="14" customWidth="1"/>
    <col min="14" max="14" width="12" hidden="1" customWidth="1"/>
    <col min="15" max="15" width="56" customWidth="1"/>
  </cols>
  <sheetData>
    <row r="1" spans="1:15" ht="33.75" customHeight="1" x14ac:dyDescent="0.25"/>
    <row r="2" spans="1:15" ht="27.75" customHeight="1" x14ac:dyDescent="0.25">
      <c r="A2" s="102">
        <v>45748</v>
      </c>
    </row>
    <row r="3" spans="1:15" ht="27.75" customHeight="1" x14ac:dyDescent="0.25">
      <c r="A3" s="105">
        <v>45748</v>
      </c>
    </row>
    <row r="4" spans="1:15" ht="27.75" customHeight="1" x14ac:dyDescent="0.25">
      <c r="A4" s="102">
        <v>45748</v>
      </c>
    </row>
    <row r="5" spans="1:15" ht="27.75" customHeight="1" x14ac:dyDescent="0.25">
      <c r="A5" s="105">
        <v>46097</v>
      </c>
    </row>
    <row r="6" spans="1:15" ht="27.75" customHeight="1" x14ac:dyDescent="0.25">
      <c r="A6" s="102">
        <v>45729</v>
      </c>
    </row>
    <row r="7" spans="1:15" ht="27.75" customHeight="1" x14ac:dyDescent="0.25">
      <c r="A7" s="105">
        <v>45729</v>
      </c>
    </row>
    <row r="8" spans="1:15" ht="27.75" customHeight="1" x14ac:dyDescent="0.25">
      <c r="A8" s="102">
        <v>45729</v>
      </c>
    </row>
    <row r="9" spans="1:15" ht="27.75" customHeight="1" x14ac:dyDescent="0.25">
      <c r="A9" s="105">
        <v>45729</v>
      </c>
    </row>
    <row r="10" spans="1:15" ht="27.75" customHeight="1" x14ac:dyDescent="0.25">
      <c r="A10" s="102">
        <v>45729</v>
      </c>
    </row>
    <row r="11" spans="1:15" ht="27.75" customHeight="1" x14ac:dyDescent="0.25">
      <c r="A11" s="105">
        <v>45729</v>
      </c>
    </row>
    <row r="12" spans="1:15" ht="27.75" customHeight="1" x14ac:dyDescent="0.25">
      <c r="A12" s="102">
        <v>45729</v>
      </c>
    </row>
    <row r="13" spans="1:15" ht="27.75" customHeight="1" x14ac:dyDescent="0.25">
      <c r="A13" s="105">
        <v>45755</v>
      </c>
    </row>
    <row r="14" spans="1:15" ht="27.75" customHeight="1" x14ac:dyDescent="0.25">
      <c r="A14" s="102">
        <v>45755</v>
      </c>
    </row>
    <row r="15" spans="1:15" ht="27.75" customHeight="1" x14ac:dyDescent="0.25">
      <c r="A15" s="105">
        <v>46093</v>
      </c>
    </row>
    <row r="16" spans="1:15" ht="27.75" customHeight="1" x14ac:dyDescent="0.25">
      <c r="A16" s="102">
        <v>45729</v>
      </c>
    </row>
    <row r="17" spans="1:15" ht="27.75" customHeight="1" x14ac:dyDescent="0.25">
      <c r="A17" s="105">
        <v>45755</v>
      </c>
    </row>
    <row r="18" spans="1:15" ht="27.75" customHeight="1" x14ac:dyDescent="0.25">
      <c r="A18" s="102">
        <v>46093</v>
      </c>
    </row>
    <row r="19" spans="1:15" ht="27.75" customHeight="1" x14ac:dyDescent="0.25">
      <c r="A19" s="105">
        <v>45755</v>
      </c>
    </row>
    <row r="20" spans="1:15" ht="27.75" customHeight="1" x14ac:dyDescent="0.25">
      <c r="A20" s="102">
        <v>46093</v>
      </c>
    </row>
    <row r="21" spans="1:15" ht="27.75" customHeight="1" x14ac:dyDescent="0.25">
      <c r="A21" s="105">
        <v>45729</v>
      </c>
    </row>
    <row r="22" spans="1:15" ht="27.75" customHeight="1" x14ac:dyDescent="0.25">
      <c r="A22" s="102">
        <v>45729</v>
      </c>
    </row>
    <row r="23" spans="1:15" ht="27.75" customHeight="1" x14ac:dyDescent="0.25">
      <c r="A23" s="105">
        <v>45755</v>
      </c>
    </row>
    <row r="24" spans="1:15" ht="27.75" customHeight="1" x14ac:dyDescent="0.25">
      <c r="A24" s="102">
        <v>45755</v>
      </c>
    </row>
    <row r="25" spans="1:15" ht="27.75" customHeight="1" x14ac:dyDescent="0.25">
      <c r="A25" s="105">
        <v>46093</v>
      </c>
    </row>
    <row r="26" spans="1:15" ht="27.75" customHeight="1" x14ac:dyDescent="0.25">
      <c r="A26" s="102">
        <v>45755</v>
      </c>
    </row>
    <row r="27" spans="1:15" ht="27.75" customHeight="1" x14ac:dyDescent="0.25">
      <c r="A27" s="105">
        <v>46093</v>
      </c>
    </row>
    <row r="28" spans="1:15" ht="27.75" customHeight="1" x14ac:dyDescent="0.25">
      <c r="A28" s="102">
        <v>46093</v>
      </c>
    </row>
    <row r="29" spans="1:15" ht="27.75" customHeight="1" x14ac:dyDescent="0.25">
      <c r="A29" s="105">
        <v>46093</v>
      </c>
    </row>
    <row r="30" spans="1:15" ht="27.75" customHeight="1" x14ac:dyDescent="0.25">
      <c r="A30" s="102">
        <v>45755</v>
      </c>
    </row>
    <row r="31" spans="1:15" ht="27.75" customHeight="1" x14ac:dyDescent="0.25">
      <c r="A31" s="105">
        <v>46093</v>
      </c>
    </row>
    <row r="32" spans="1:15" ht="27.75" customHeight="1" x14ac:dyDescent="0.25">
      <c r="A32" s="102">
        <v>45729</v>
      </c>
    </row>
    <row r="33" spans="1:15" ht="27.75" customHeight="1" x14ac:dyDescent="0.25">
      <c r="A33" s="105">
        <v>45289</v>
      </c>
    </row>
    <row r="34" spans="1:15" ht="27.75" customHeight="1" x14ac:dyDescent="0.25">
      <c r="A34" s="102">
        <v>45289</v>
      </c>
    </row>
    <row r="35" spans="1:15" ht="27.75" customHeight="1" x14ac:dyDescent="0.25">
      <c r="A35" s="105">
        <v>45755</v>
      </c>
    </row>
    <row r="36" spans="1:15" ht="27.75" customHeight="1" x14ac:dyDescent="0.25">
      <c r="A36" s="102">
        <v>46093</v>
      </c>
    </row>
    <row r="37" spans="1:15" ht="27.75" customHeight="1" x14ac:dyDescent="0.25">
      <c r="A37" s="105">
        <v>45755</v>
      </c>
    </row>
    <row r="38" spans="1:15" ht="27.75" customHeight="1" x14ac:dyDescent="0.25">
      <c r="A38" s="102">
        <v>46093</v>
      </c>
    </row>
    <row r="39" spans="1:15" ht="27.75" customHeight="1" x14ac:dyDescent="0.25">
      <c r="A39" s="105">
        <v>45729</v>
      </c>
    </row>
    <row r="40" spans="1:15" ht="27.75" customHeight="1" x14ac:dyDescent="0.25">
      <c r="A40" s="102">
        <v>46092</v>
      </c>
    </row>
    <row r="41" spans="1:15" ht="27.75" customHeight="1" x14ac:dyDescent="0.25">
      <c r="A41" s="105">
        <v>46092</v>
      </c>
    </row>
    <row r="42" spans="1:15" ht="27.75" customHeight="1" x14ac:dyDescent="0.25">
      <c r="A42" s="102">
        <v>44476</v>
      </c>
    </row>
    <row r="43" spans="1:15" ht="27.75" customHeight="1" x14ac:dyDescent="0.25">
      <c r="A43" s="105">
        <v>44476</v>
      </c>
    </row>
    <row r="44" spans="1:15" ht="27.75" customHeight="1" x14ac:dyDescent="0.25">
      <c r="A44" s="102">
        <v>44476</v>
      </c>
    </row>
    <row r="45" spans="1:15" ht="27.75" customHeight="1" x14ac:dyDescent="0.25">
      <c r="A45" s="105">
        <v>46210</v>
      </c>
    </row>
    <row r="46" spans="1:15" ht="27.75" customHeight="1" x14ac:dyDescent="0.25">
      <c r="A46" s="102">
        <v>46210</v>
      </c>
    </row>
    <row r="47" spans="1:15" ht="27.75" customHeight="1" x14ac:dyDescent="0.25">
      <c r="A47" s="105">
        <v>46210</v>
      </c>
    </row>
    <row r="48" spans="1:15" ht="27.75" customHeight="1" x14ac:dyDescent="0.25">
      <c r="A48" s="102">
        <v>46210</v>
      </c>
    </row>
    <row r="49" spans="1:15" ht="27.75" customHeight="1" x14ac:dyDescent="0.25">
      <c r="A49" s="105">
        <v>46210</v>
      </c>
    </row>
    <row r="50" spans="1:15" ht="27.75" customHeight="1" x14ac:dyDescent="0.25">
      <c r="A50" s="102">
        <v>46210</v>
      </c>
    </row>
    <row r="51" spans="1:15" ht="27.75" customHeight="1" x14ac:dyDescent="0.25">
      <c r="A51" s="105">
        <v>46210</v>
      </c>
    </row>
    <row r="52" spans="1:15" ht="27.75" customHeight="1" x14ac:dyDescent="0.25">
      <c r="A52" s="102">
        <v>46210</v>
      </c>
    </row>
    <row r="53" spans="1:15" ht="27.75" customHeight="1" x14ac:dyDescent="0.25">
      <c r="A53" s="105">
        <v>46210</v>
      </c>
    </row>
    <row r="54" spans="1:15" ht="27.75" customHeight="1" x14ac:dyDescent="0.25">
      <c r="A54" s="102">
        <v>46210</v>
      </c>
    </row>
    <row r="55" spans="1:15" ht="27.75" customHeight="1" x14ac:dyDescent="0.25">
      <c r="A55" s="105">
        <v>46210</v>
      </c>
    </row>
    <row r="56" spans="1:15" ht="27.75" customHeight="1" x14ac:dyDescent="0.25">
      <c r="A56" s="102">
        <v>46210</v>
      </c>
    </row>
    <row r="57" spans="1:15" ht="27.75" customHeight="1" x14ac:dyDescent="0.25">
      <c r="A57" s="105">
        <v>46210</v>
      </c>
    </row>
    <row r="58" spans="1:15" ht="27.75" customHeight="1" x14ac:dyDescent="0.25">
      <c r="A58" s="102">
        <v>46210</v>
      </c>
    </row>
    <row r="59" spans="1:15" ht="27.75" customHeight="1" x14ac:dyDescent="0.25">
      <c r="A59" s="105">
        <v>46210</v>
      </c>
    </row>
    <row r="60" spans="1:15" ht="27.75" customHeight="1" x14ac:dyDescent="0.25">
      <c r="A60" s="102">
        <v>46210</v>
      </c>
    </row>
    <row r="61" spans="1:15" ht="27.75" customHeight="1" x14ac:dyDescent="0.25">
      <c r="A61" s="105">
        <v>46210</v>
      </c>
    </row>
    <row r="62" spans="1:15" ht="27.75" customHeight="1" x14ac:dyDescent="0.25">
      <c r="A62" s="102">
        <v>46210</v>
      </c>
    </row>
    <row r="63" spans="1:15" ht="27.75" customHeight="1" x14ac:dyDescent="0.25">
      <c r="A63" s="105">
        <v>46210</v>
      </c>
    </row>
    <row r="64" spans="1:15" ht="27.75" customHeight="1" x14ac:dyDescent="0.25">
      <c r="A64" s="102">
        <v>46210</v>
      </c>
    </row>
    <row r="65" spans="1:15" ht="27.75" customHeight="1" x14ac:dyDescent="0.25">
      <c r="A65" s="105">
        <v>46210</v>
      </c>
    </row>
    <row r="66" spans="1:15" ht="27.75" customHeight="1" x14ac:dyDescent="0.25">
      <c r="A66" s="102">
        <v>46210</v>
      </c>
    </row>
    <row r="67" spans="1:15" ht="27.75" customHeight="1" x14ac:dyDescent="0.25">
      <c r="A67" s="105">
        <v>45742</v>
      </c>
    </row>
    <row r="68" spans="1:15" ht="27.75" customHeight="1" x14ac:dyDescent="0.25">
      <c r="A68" s="102">
        <v>46092</v>
      </c>
    </row>
    <row r="69" spans="1:15" ht="27.75" customHeight="1" x14ac:dyDescent="0.25">
      <c r="A69" s="105">
        <v>45742</v>
      </c>
    </row>
    <row r="70" spans="1:15" ht="27.75" customHeight="1" x14ac:dyDescent="0.25">
      <c r="A70" s="102">
        <v>46092</v>
      </c>
    </row>
    <row r="71" spans="1:15" ht="27.75" customHeight="1" x14ac:dyDescent="0.25">
      <c r="A71" s="105">
        <v>45742</v>
      </c>
    </row>
    <row r="72" spans="1:15" ht="27.75" customHeight="1" x14ac:dyDescent="0.25">
      <c r="A72" s="102">
        <v>46092</v>
      </c>
    </row>
    <row r="73" spans="1:15" ht="27.75" customHeight="1" x14ac:dyDescent="0.25">
      <c r="A73" s="105">
        <v>45742</v>
      </c>
    </row>
    <row r="74" spans="1:15" ht="27.75" customHeight="1" x14ac:dyDescent="0.25">
      <c r="A74" s="102">
        <v>46092</v>
      </c>
    </row>
    <row r="75" spans="1:15" ht="27.75" customHeight="1" x14ac:dyDescent="0.25">
      <c r="A75" s="105">
        <v>46092</v>
      </c>
    </row>
    <row r="76" spans="1:15" ht="27.75" customHeight="1" x14ac:dyDescent="0.25">
      <c r="A76" s="102">
        <v>46092</v>
      </c>
    </row>
    <row r="77" spans="1:15" ht="27.75" customHeight="1" x14ac:dyDescent="0.25">
      <c r="A77" s="105">
        <v>45742</v>
      </c>
    </row>
    <row r="78" spans="1:15" ht="27.75" customHeight="1" x14ac:dyDescent="0.25">
      <c r="A78" s="102">
        <v>46092</v>
      </c>
    </row>
    <row r="79" spans="1:15" ht="27.75" customHeight="1" x14ac:dyDescent="0.25">
      <c r="A79" s="105">
        <v>44214</v>
      </c>
    </row>
    <row r="80" spans="1:15" ht="27.75" customHeight="1" x14ac:dyDescent="0.25">
      <c r="A80" s="102">
        <v>45742</v>
      </c>
    </row>
    <row r="81" spans="1:15" ht="27.75" customHeight="1" x14ac:dyDescent="0.25">
      <c r="A81" s="105">
        <v>46007</v>
      </c>
    </row>
    <row r="82" spans="1:15" ht="27.75" customHeight="1" x14ac:dyDescent="0.25">
      <c r="A82" s="102">
        <v>46007</v>
      </c>
    </row>
    <row r="83" spans="1:15" ht="27.75" customHeight="1" x14ac:dyDescent="0.25">
      <c r="A83" s="105">
        <v>46092</v>
      </c>
    </row>
    <row r="84" spans="1:15" ht="27.75" customHeight="1" x14ac:dyDescent="0.25">
      <c r="A84" s="102">
        <v>45742</v>
      </c>
    </row>
    <row r="85" spans="1:15" ht="27.75" customHeight="1" x14ac:dyDescent="0.25">
      <c r="A85" s="105">
        <v>46092</v>
      </c>
    </row>
    <row r="86" spans="1:15" ht="27.75" customHeight="1" x14ac:dyDescent="0.25">
      <c r="A86" s="102">
        <v>44214</v>
      </c>
    </row>
    <row r="87" spans="1:15" ht="27.75" customHeight="1" x14ac:dyDescent="0.25">
      <c r="A87" s="105">
        <v>44214</v>
      </c>
    </row>
    <row r="88" spans="1:15" ht="27.75" customHeight="1" x14ac:dyDescent="0.25">
      <c r="A88" s="102">
        <v>44214</v>
      </c>
    </row>
    <row r="89" spans="1:15" ht="27.75" customHeight="1" x14ac:dyDescent="0.25">
      <c r="A89" s="105">
        <v>44214</v>
      </c>
    </row>
    <row r="90" spans="1:15" ht="27.75" customHeight="1" x14ac:dyDescent="0.25">
      <c r="A90" s="102">
        <v>45814</v>
      </c>
    </row>
    <row r="91" spans="1:15" ht="27.75" customHeight="1" x14ac:dyDescent="0.25">
      <c r="A91" s="105">
        <v>45814</v>
      </c>
    </row>
    <row r="92" spans="1:15" ht="27.75" customHeight="1" x14ac:dyDescent="0.25">
      <c r="A92" s="102">
        <v>46154</v>
      </c>
    </row>
    <row r="93" spans="1:15" ht="27.75" customHeight="1" x14ac:dyDescent="0.25">
      <c r="A93" s="105">
        <v>44204</v>
      </c>
    </row>
    <row r="94" spans="1:15" ht="27.75" customHeight="1" x14ac:dyDescent="0.25">
      <c r="A94" s="102">
        <v>44375</v>
      </c>
    </row>
    <row r="95" spans="1:15" ht="27.75" customHeight="1" x14ac:dyDescent="0.25">
      <c r="A95" s="105">
        <v>45814</v>
      </c>
    </row>
    <row r="96" spans="1:15" ht="27.75" customHeight="1" x14ac:dyDescent="0.25">
      <c r="A96" s="102">
        <v>46154</v>
      </c>
    </row>
    <row r="97" spans="1:15" ht="27.75" customHeight="1" x14ac:dyDescent="0.25">
      <c r="A97" s="105">
        <v>45814</v>
      </c>
    </row>
    <row r="98" spans="1:15" ht="27.75" customHeight="1" x14ac:dyDescent="0.25">
      <c r="A98" s="102">
        <v>46154</v>
      </c>
    </row>
    <row r="99" spans="1:15" ht="27.75" customHeight="1" x14ac:dyDescent="0.25">
      <c r="A99" s="105">
        <v>45814</v>
      </c>
    </row>
    <row r="100" spans="1:15" ht="27.75" customHeight="1" x14ac:dyDescent="0.25">
      <c r="A100" s="102">
        <v>45814</v>
      </c>
    </row>
    <row r="101" spans="1:15" ht="27.75" customHeight="1" x14ac:dyDescent="0.25">
      <c r="A101" s="105">
        <v>46154</v>
      </c>
    </row>
    <row r="102" spans="1:15" ht="27.75" customHeight="1" x14ac:dyDescent="0.25">
      <c r="A102" s="102">
        <v>45814</v>
      </c>
    </row>
    <row r="103" spans="1:15" ht="27.75" customHeight="1" x14ac:dyDescent="0.25">
      <c r="A103" s="105">
        <v>46154</v>
      </c>
    </row>
    <row r="104" spans="1:15" ht="27.75" customHeight="1" x14ac:dyDescent="0.25">
      <c r="A104" s="102">
        <v>46111</v>
      </c>
    </row>
    <row r="105" spans="1:15" ht="27.75" customHeight="1" x14ac:dyDescent="0.25">
      <c r="A105" s="105">
        <v>46111</v>
      </c>
    </row>
    <row r="106" spans="1:15" ht="27.75" customHeight="1" x14ac:dyDescent="0.25">
      <c r="A106" s="102">
        <v>46111</v>
      </c>
    </row>
    <row r="107" spans="1:15" ht="27.75" customHeight="1" x14ac:dyDescent="0.25">
      <c r="A107" s="105">
        <v>46111</v>
      </c>
    </row>
    <row r="108" spans="1:15" ht="27.75" customHeight="1" x14ac:dyDescent="0.25">
      <c r="A108" s="102">
        <v>46111</v>
      </c>
    </row>
    <row r="109" spans="1:15" ht="27.75" customHeight="1" x14ac:dyDescent="0.25">
      <c r="A109" s="105">
        <v>45741</v>
      </c>
    </row>
    <row r="110" spans="1:15" ht="27.75" customHeight="1" x14ac:dyDescent="0.25">
      <c r="A110" s="102">
        <v>45741</v>
      </c>
    </row>
    <row r="111" spans="1:15" ht="27.75" customHeight="1" x14ac:dyDescent="0.25">
      <c r="A111" s="105">
        <v>46093</v>
      </c>
    </row>
    <row r="112" spans="1:15" ht="27.75" customHeight="1" x14ac:dyDescent="0.25">
      <c r="A112" s="102">
        <v>45741</v>
      </c>
    </row>
    <row r="113" spans="1:15" ht="27.75" customHeight="1" x14ac:dyDescent="0.25">
      <c r="A113" s="105">
        <v>45741</v>
      </c>
    </row>
    <row r="114" spans="1:15" ht="27.75" customHeight="1" x14ac:dyDescent="0.25">
      <c r="A114" s="102">
        <v>46093</v>
      </c>
    </row>
    <row r="115" spans="1:15" ht="27.75" customHeight="1" x14ac:dyDescent="0.25">
      <c r="A115" s="105">
        <v>45741</v>
      </c>
    </row>
    <row r="116" spans="1:15" ht="27.75" customHeight="1" x14ac:dyDescent="0.25">
      <c r="A116" s="102">
        <v>45741</v>
      </c>
    </row>
    <row r="117" spans="1:15" ht="27.75" customHeight="1" x14ac:dyDescent="0.25">
      <c r="A117" s="105">
        <v>46093</v>
      </c>
    </row>
    <row r="118" spans="1:15" ht="27.75" customHeight="1" x14ac:dyDescent="0.25">
      <c r="A118" s="102">
        <v>45741</v>
      </c>
    </row>
    <row r="119" spans="1:15" ht="27.75" customHeight="1" x14ac:dyDescent="0.25">
      <c r="A119" s="105">
        <v>45741</v>
      </c>
    </row>
    <row r="120" spans="1:15" ht="27.75" customHeight="1" x14ac:dyDescent="0.25">
      <c r="A120" s="102">
        <v>46093</v>
      </c>
    </row>
    <row r="121" spans="1:15" ht="27.75" customHeight="1" x14ac:dyDescent="0.25">
      <c r="A121" s="105">
        <v>45741</v>
      </c>
    </row>
    <row r="122" spans="1:15" ht="27.75" customHeight="1" x14ac:dyDescent="0.25">
      <c r="A122" s="102">
        <v>45741</v>
      </c>
    </row>
    <row r="123" spans="1:15" ht="27.75" customHeight="1" x14ac:dyDescent="0.25">
      <c r="A123" s="105">
        <v>46093</v>
      </c>
    </row>
    <row r="124" spans="1:15" ht="27.75" customHeight="1" x14ac:dyDescent="0.25">
      <c r="A124" s="102">
        <v>44685</v>
      </c>
    </row>
    <row r="125" spans="1:15" ht="27.75" customHeight="1" x14ac:dyDescent="0.25">
      <c r="A125" s="105">
        <v>45498</v>
      </c>
    </row>
    <row r="126" spans="1:15" ht="27.75" customHeight="1" x14ac:dyDescent="0.25">
      <c r="A126" s="102">
        <v>44685</v>
      </c>
    </row>
    <row r="127" spans="1:15" ht="27.75" customHeight="1" x14ac:dyDescent="0.25">
      <c r="A127" s="105">
        <v>44685</v>
      </c>
    </row>
    <row r="128" spans="1:15" ht="27.75" customHeight="1" x14ac:dyDescent="0.25">
      <c r="A128" s="102">
        <v>45219</v>
      </c>
    </row>
    <row r="129" spans="1:15" ht="27.75" customHeight="1" x14ac:dyDescent="0.25">
      <c r="A129" s="105">
        <v>45498</v>
      </c>
    </row>
    <row r="130" spans="1:15" ht="27.75" customHeight="1" x14ac:dyDescent="0.25">
      <c r="A130" s="102">
        <v>45498</v>
      </c>
    </row>
    <row r="131" spans="1:15" ht="27.75" customHeight="1" x14ac:dyDescent="0.25">
      <c r="A131" s="105">
        <v>45498</v>
      </c>
    </row>
    <row r="132" spans="1:15" ht="27.75" customHeight="1" x14ac:dyDescent="0.25">
      <c r="A132" s="102">
        <v>45748</v>
      </c>
    </row>
    <row r="133" spans="1:15" ht="27.75" customHeight="1" x14ac:dyDescent="0.25">
      <c r="A133" s="105">
        <v>45748</v>
      </c>
    </row>
    <row r="134" spans="1:15" ht="27.75" customHeight="1" x14ac:dyDescent="0.25">
      <c r="A134" s="102">
        <v>45748</v>
      </c>
    </row>
    <row r="135" spans="1:15" ht="27.75" customHeight="1" x14ac:dyDescent="0.25">
      <c r="A135" s="105">
        <v>45748</v>
      </c>
    </row>
    <row r="136" spans="1:15" ht="27.75" customHeight="1" x14ac:dyDescent="0.25">
      <c r="A136" s="102">
        <v>46210</v>
      </c>
    </row>
    <row r="137" spans="1:15" ht="27.75" customHeight="1" x14ac:dyDescent="0.25">
      <c r="A137" s="105">
        <v>46210</v>
      </c>
    </row>
    <row r="138" spans="1:15" ht="27.75" customHeight="1" x14ac:dyDescent="0.25">
      <c r="A138" s="102">
        <v>44685</v>
      </c>
    </row>
    <row r="139" spans="1:15" ht="27.75" customHeight="1" x14ac:dyDescent="0.25">
      <c r="A139" s="105">
        <v>44685</v>
      </c>
    </row>
    <row r="140" spans="1:15" ht="27.75" customHeight="1" x14ac:dyDescent="0.25">
      <c r="A140" s="102">
        <v>45498</v>
      </c>
    </row>
    <row r="141" spans="1:15" ht="27.75" customHeight="1" x14ac:dyDescent="0.25">
      <c r="A141" s="105">
        <v>44375</v>
      </c>
    </row>
    <row r="142" spans="1:15" ht="27.75" customHeight="1" x14ac:dyDescent="0.25">
      <c r="A142" s="102">
        <v>44375</v>
      </c>
    </row>
    <row r="143" spans="1:15" ht="27.75" customHeight="1" x14ac:dyDescent="0.25">
      <c r="A143" s="105">
        <v>44375</v>
      </c>
    </row>
    <row r="144" spans="1:15" ht="27.75" customHeight="1" x14ac:dyDescent="0.25">
      <c r="A144" s="102">
        <v>44375</v>
      </c>
    </row>
    <row r="145" spans="1:15" ht="27.75" customHeight="1" x14ac:dyDescent="0.25">
      <c r="A145" s="105">
        <v>44375</v>
      </c>
    </row>
    <row r="146" spans="1:15" ht="27.75" customHeight="1" x14ac:dyDescent="0.25">
      <c r="A146" s="102">
        <v>44375</v>
      </c>
    </row>
    <row r="147" spans="1:15" ht="27.75" customHeight="1" x14ac:dyDescent="0.25">
      <c r="A147" s="105">
        <v>44399</v>
      </c>
    </row>
    <row r="148" spans="1:15" ht="27.75" customHeight="1" x14ac:dyDescent="0.25">
      <c r="A148" s="102">
        <v>44399</v>
      </c>
    </row>
    <row r="149" spans="1:15" ht="27.75" customHeight="1" x14ac:dyDescent="0.25">
      <c r="A149" s="105">
        <v>45757</v>
      </c>
    </row>
    <row r="150" spans="1:15" ht="27.75" customHeight="1" x14ac:dyDescent="0.25">
      <c r="A150" s="102">
        <v>44270</v>
      </c>
    </row>
    <row r="151" spans="1:15" ht="27.75" customHeight="1" x14ac:dyDescent="0.25">
      <c r="A151" s="105">
        <v>44270</v>
      </c>
    </row>
    <row r="152" spans="1:15" ht="27.75" customHeight="1" x14ac:dyDescent="0.25">
      <c r="A152" s="102">
        <v>44270</v>
      </c>
    </row>
    <row r="153" spans="1:15" ht="27.75" customHeight="1" x14ac:dyDescent="0.25">
      <c r="A153" s="105">
        <v>44270</v>
      </c>
    </row>
    <row r="154" spans="1:15" ht="27.75" customHeight="1" x14ac:dyDescent="0.25">
      <c r="A154" s="102">
        <v>44270</v>
      </c>
    </row>
    <row r="155" spans="1:15" ht="27.75" customHeight="1" x14ac:dyDescent="0.25">
      <c r="A155" s="105">
        <v>44270</v>
      </c>
    </row>
    <row r="156" spans="1:15" ht="27.75" customHeight="1" x14ac:dyDescent="0.25">
      <c r="A156" s="102">
        <v>45757</v>
      </c>
    </row>
    <row r="157" spans="1:15" ht="27.75" customHeight="1" x14ac:dyDescent="0.25">
      <c r="A157" s="105">
        <v>45757</v>
      </c>
    </row>
    <row r="158" spans="1:15" ht="27.75" customHeight="1" x14ac:dyDescent="0.25">
      <c r="A158" s="102">
        <v>44270</v>
      </c>
    </row>
    <row r="159" spans="1:15" ht="27.75" customHeight="1" x14ac:dyDescent="0.25">
      <c r="A159" s="105">
        <v>44270</v>
      </c>
    </row>
    <row r="160" spans="1:15" ht="27.75" customHeight="1" x14ac:dyDescent="0.25">
      <c r="A160" s="102">
        <v>45757</v>
      </c>
    </row>
    <row r="161" spans="1:15" ht="27.75" customHeight="1" x14ac:dyDescent="0.25">
      <c r="A161" s="105">
        <v>45757</v>
      </c>
    </row>
    <row r="162" spans="1:15" ht="27.75" customHeight="1" x14ac:dyDescent="0.25">
      <c r="A162" s="102">
        <v>44270</v>
      </c>
    </row>
    <row r="163" spans="1:15" ht="27.75" customHeight="1" x14ac:dyDescent="0.25">
      <c r="A163" s="105">
        <v>44270</v>
      </c>
    </row>
    <row r="164" spans="1:15" ht="27.75" customHeight="1" x14ac:dyDescent="0.25">
      <c r="A164" s="102">
        <v>44270</v>
      </c>
    </row>
    <row r="165" spans="1:15" ht="27.75" customHeight="1" x14ac:dyDescent="0.25">
      <c r="A165" s="105">
        <v>44270</v>
      </c>
    </row>
    <row r="166" spans="1:15" ht="27.75" customHeight="1" x14ac:dyDescent="0.25">
      <c r="A166" s="102">
        <v>44270</v>
      </c>
    </row>
    <row r="167" spans="1:15" ht="27.75" customHeight="1" x14ac:dyDescent="0.25">
      <c r="A167" s="105">
        <v>44270</v>
      </c>
    </row>
    <row r="168" spans="1:15" ht="27.75" customHeight="1" x14ac:dyDescent="0.25">
      <c r="A168" s="102">
        <v>44270</v>
      </c>
    </row>
    <row r="169" spans="1:15" ht="27.75" customHeight="1" x14ac:dyDescent="0.25">
      <c r="A169" s="105">
        <v>44270</v>
      </c>
    </row>
    <row r="170" spans="1:15" ht="27.75" customHeight="1" x14ac:dyDescent="0.25">
      <c r="A170" s="102">
        <v>45947</v>
      </c>
    </row>
    <row r="171" spans="1:15" ht="27.75" customHeight="1" x14ac:dyDescent="0.25">
      <c r="A171" s="105">
        <v>45947</v>
      </c>
    </row>
    <row r="172" spans="1:15" ht="27.75" customHeight="1" x14ac:dyDescent="0.25">
      <c r="A172" s="102">
        <v>44270</v>
      </c>
    </row>
    <row r="173" spans="1:15" ht="27.75" customHeight="1" x14ac:dyDescent="0.25">
      <c r="A173" s="105">
        <v>44270</v>
      </c>
    </row>
    <row r="174" spans="1:15" ht="27.75" customHeight="1" x14ac:dyDescent="0.25">
      <c r="A174" s="102">
        <v>45757</v>
      </c>
    </row>
    <row r="175" spans="1:15" ht="27.75" customHeight="1" x14ac:dyDescent="0.25">
      <c r="A175" s="105">
        <v>44270</v>
      </c>
    </row>
    <row r="176" spans="1:15" ht="27.75" customHeight="1" x14ac:dyDescent="0.25">
      <c r="A176" s="102">
        <v>44270</v>
      </c>
    </row>
    <row r="177" spans="1:15" ht="27.75" customHeight="1" x14ac:dyDescent="0.25">
      <c r="A177" s="105">
        <v>45757</v>
      </c>
    </row>
    <row r="178" spans="1:15" ht="27.75" customHeight="1" x14ac:dyDescent="0.25">
      <c r="A178" s="102">
        <v>44270</v>
      </c>
    </row>
    <row r="179" spans="1:15" ht="27.75" customHeight="1" x14ac:dyDescent="0.25">
      <c r="A179" s="105">
        <v>44270</v>
      </c>
    </row>
    <row r="180" spans="1:15" ht="27.75" customHeight="1" x14ac:dyDescent="0.25">
      <c r="A180" s="102">
        <v>45947</v>
      </c>
    </row>
    <row r="181" spans="1:15" ht="27.75" customHeight="1" x14ac:dyDescent="0.25">
      <c r="A181" s="105">
        <v>45947</v>
      </c>
    </row>
    <row r="182" spans="1:15" ht="27.75" customHeight="1" x14ac:dyDescent="0.25">
      <c r="A182" s="102">
        <v>45757</v>
      </c>
    </row>
    <row r="183" spans="1:15" ht="27.75" customHeight="1" x14ac:dyDescent="0.25">
      <c r="A183" s="105">
        <v>44270</v>
      </c>
    </row>
    <row r="184" spans="1:15" ht="27.75" customHeight="1" x14ac:dyDescent="0.25">
      <c r="A184" s="102">
        <v>44270</v>
      </c>
    </row>
    <row r="185" spans="1:15" ht="27.75" customHeight="1" x14ac:dyDescent="0.25">
      <c r="A185" s="105">
        <v>44270</v>
      </c>
    </row>
    <row r="186" spans="1:15" ht="27.75" customHeight="1" x14ac:dyDescent="0.25">
      <c r="A186" s="102">
        <v>44270</v>
      </c>
    </row>
    <row r="187" spans="1:15" ht="27.75" customHeight="1" x14ac:dyDescent="0.25">
      <c r="A187" s="105">
        <v>45757</v>
      </c>
    </row>
    <row r="188" spans="1:15" ht="27.75" customHeight="1" x14ac:dyDescent="0.25">
      <c r="A188" s="102">
        <v>45757</v>
      </c>
    </row>
    <row r="189" spans="1:15" ht="27.75" customHeight="1" x14ac:dyDescent="0.25">
      <c r="A189" s="105">
        <v>45757</v>
      </c>
    </row>
    <row r="190" spans="1:15" ht="27.75" customHeight="1" x14ac:dyDescent="0.25">
      <c r="A190" s="102">
        <v>45947</v>
      </c>
    </row>
    <row r="191" spans="1:15" ht="27.75" customHeight="1" x14ac:dyDescent="0.25">
      <c r="A191" s="105">
        <v>45947</v>
      </c>
    </row>
    <row r="192" spans="1:15" ht="27.75" customHeight="1" x14ac:dyDescent="0.25">
      <c r="A192" s="102">
        <v>44270</v>
      </c>
    </row>
    <row r="193" spans="1:15" ht="27.75" customHeight="1" x14ac:dyDescent="0.25">
      <c r="A193" s="105">
        <v>44270</v>
      </c>
    </row>
    <row r="194" spans="1:15" ht="27.75" customHeight="1" x14ac:dyDescent="0.25">
      <c r="A194" s="102">
        <v>45757</v>
      </c>
    </row>
    <row r="195" spans="1:15" ht="27.75" customHeight="1" x14ac:dyDescent="0.25">
      <c r="A195" s="105">
        <v>44270</v>
      </c>
    </row>
    <row r="196" spans="1:15" ht="27.75" customHeight="1" x14ac:dyDescent="0.25">
      <c r="A196" s="102">
        <v>44270</v>
      </c>
    </row>
    <row r="197" spans="1:15" ht="27.75" customHeight="1" x14ac:dyDescent="0.25">
      <c r="A197" s="105">
        <v>45757</v>
      </c>
    </row>
    <row r="198" spans="1:15" ht="27.75" customHeight="1" x14ac:dyDescent="0.25">
      <c r="A198" s="102">
        <v>44270</v>
      </c>
    </row>
    <row r="199" spans="1:15" ht="27.75" customHeight="1" x14ac:dyDescent="0.25">
      <c r="A199" s="105">
        <v>44270</v>
      </c>
    </row>
    <row r="200" spans="1:15" ht="27.75" customHeight="1" x14ac:dyDescent="0.25">
      <c r="A200" s="102">
        <v>45757</v>
      </c>
    </row>
    <row r="201" spans="1:15" ht="27.75" customHeight="1" x14ac:dyDescent="0.25">
      <c r="A201" s="105">
        <v>44270</v>
      </c>
    </row>
    <row r="202" spans="1:15" ht="27.75" customHeight="1" x14ac:dyDescent="0.25">
      <c r="A202" s="102">
        <v>44270</v>
      </c>
    </row>
    <row r="203" spans="1:15" ht="27.75" customHeight="1" x14ac:dyDescent="0.25">
      <c r="A203" s="105">
        <v>45757</v>
      </c>
    </row>
    <row r="204" spans="1:15" ht="27.75" customHeight="1" x14ac:dyDescent="0.25">
      <c r="A204" s="102">
        <v>44270</v>
      </c>
    </row>
    <row r="205" spans="1:15" ht="27.75" customHeight="1" x14ac:dyDescent="0.25">
      <c r="A205" s="105">
        <v>44270</v>
      </c>
    </row>
    <row r="206" spans="1:15" ht="27.75" customHeight="1" x14ac:dyDescent="0.25">
      <c r="A206" s="102">
        <v>45757</v>
      </c>
    </row>
    <row r="207" spans="1:15" ht="27.75" customHeight="1" x14ac:dyDescent="0.25">
      <c r="A207" s="105">
        <v>44270</v>
      </c>
    </row>
    <row r="208" spans="1:15" ht="27.75" customHeight="1" x14ac:dyDescent="0.25">
      <c r="A208" s="102">
        <v>44270</v>
      </c>
    </row>
    <row r="209" spans="1:15" ht="27.75" customHeight="1" x14ac:dyDescent="0.25">
      <c r="A209" s="105">
        <v>45757</v>
      </c>
    </row>
    <row r="210" spans="1:15" ht="27.75" customHeight="1" x14ac:dyDescent="0.25">
      <c r="A210" s="102">
        <v>44270</v>
      </c>
    </row>
    <row r="211" spans="1:15" ht="27.75" customHeight="1" x14ac:dyDescent="0.25">
      <c r="A211" s="105">
        <v>44270</v>
      </c>
    </row>
    <row r="212" spans="1:15" ht="27.75" customHeight="1" x14ac:dyDescent="0.25">
      <c r="A212" s="102">
        <v>45757</v>
      </c>
    </row>
    <row r="213" spans="1:15" ht="27.75" customHeight="1" x14ac:dyDescent="0.25">
      <c r="A213" s="105">
        <v>44510</v>
      </c>
    </row>
    <row r="214" spans="1:15" ht="27.75" customHeight="1" x14ac:dyDescent="0.25">
      <c r="A214" s="102">
        <v>44510</v>
      </c>
    </row>
    <row r="215" spans="1:15" ht="27.75" customHeight="1" x14ac:dyDescent="0.25">
      <c r="A215" s="105">
        <v>44510</v>
      </c>
    </row>
    <row r="216" spans="1:15" ht="27.75" customHeight="1" x14ac:dyDescent="0.25">
      <c r="A216" s="102">
        <v>44510</v>
      </c>
    </row>
    <row r="217" spans="1:15" ht="27.75" customHeight="1" x14ac:dyDescent="0.25">
      <c r="A217" s="105">
        <v>44510</v>
      </c>
    </row>
    <row r="218" spans="1:15" ht="27.75" customHeight="1" x14ac:dyDescent="0.25">
      <c r="A218" s="102">
        <v>44510</v>
      </c>
    </row>
    <row r="219" spans="1:15" ht="27.75" customHeight="1" x14ac:dyDescent="0.25">
      <c r="A219" s="105">
        <v>44510</v>
      </c>
    </row>
    <row r="220" spans="1:15" ht="27.75" customHeight="1" x14ac:dyDescent="0.25">
      <c r="A220" s="102">
        <v>44510</v>
      </c>
    </row>
    <row r="221" spans="1:15" ht="27.75" customHeight="1" x14ac:dyDescent="0.25">
      <c r="A221" s="105">
        <v>44510</v>
      </c>
    </row>
    <row r="222" spans="1:15" ht="27.75" customHeight="1" x14ac:dyDescent="0.25">
      <c r="A222" s="102">
        <v>44510</v>
      </c>
    </row>
    <row r="223" spans="1:15" ht="27.75" customHeight="1" x14ac:dyDescent="0.25">
      <c r="A223" s="105">
        <v>44510</v>
      </c>
    </row>
    <row r="224" spans="1:15" ht="27.75" customHeight="1" x14ac:dyDescent="0.25">
      <c r="A224" s="102">
        <v>44510</v>
      </c>
    </row>
    <row r="225" spans="1:15" ht="27.75" customHeight="1" x14ac:dyDescent="0.25">
      <c r="A225" s="105">
        <v>45741</v>
      </c>
    </row>
    <row r="226" spans="1:15" ht="27.75" customHeight="1" x14ac:dyDescent="0.25">
      <c r="A226" s="102">
        <v>45748</v>
      </c>
    </row>
    <row r="227" spans="1:15" ht="27.75" customHeight="1" x14ac:dyDescent="0.25">
      <c r="A227" s="105">
        <v>46097</v>
      </c>
    </row>
    <row r="228" spans="1:15" ht="27.75" customHeight="1" x14ac:dyDescent="0.25">
      <c r="A228" s="102">
        <v>44209</v>
      </c>
    </row>
    <row r="229" spans="1:15" ht="27.75" customHeight="1" x14ac:dyDescent="0.25">
      <c r="A229" s="105">
        <v>44510</v>
      </c>
    </row>
    <row r="230" spans="1:15" ht="27.75" customHeight="1" x14ac:dyDescent="0.25">
      <c r="A230" s="102">
        <v>44510</v>
      </c>
    </row>
    <row r="231" spans="1:15" ht="27.75" customHeight="1" x14ac:dyDescent="0.25">
      <c r="A231" s="105">
        <v>45741</v>
      </c>
    </row>
    <row r="232" spans="1:15" ht="27.75" customHeight="1" x14ac:dyDescent="0.25">
      <c r="A232" s="102">
        <v>44209</v>
      </c>
    </row>
    <row r="233" spans="1:15" ht="27.75" customHeight="1" x14ac:dyDescent="0.25">
      <c r="A233" s="105">
        <v>44209</v>
      </c>
    </row>
    <row r="234" spans="1:15" ht="27.75" customHeight="1" x14ac:dyDescent="0.25">
      <c r="A234" s="102">
        <v>45741</v>
      </c>
    </row>
    <row r="235" spans="1:15" ht="27.75" customHeight="1" x14ac:dyDescent="0.25">
      <c r="A235" s="105">
        <v>45741</v>
      </c>
    </row>
    <row r="236" spans="1:15" ht="27.75" customHeight="1" x14ac:dyDescent="0.25">
      <c r="A236" s="102">
        <v>45748</v>
      </c>
    </row>
    <row r="237" spans="1:15" ht="27.75" customHeight="1" x14ac:dyDescent="0.25">
      <c r="A237" s="105">
        <v>46097</v>
      </c>
    </row>
    <row r="238" spans="1:15" ht="27.75" customHeight="1" x14ac:dyDescent="0.25">
      <c r="A238" s="102">
        <v>45748</v>
      </c>
    </row>
    <row r="239" spans="1:15" ht="27.75" customHeight="1" x14ac:dyDescent="0.25">
      <c r="A239" s="105">
        <v>46097</v>
      </c>
    </row>
    <row r="240" spans="1:15" ht="27.75" customHeight="1" x14ac:dyDescent="0.25">
      <c r="A240" s="102">
        <v>45741</v>
      </c>
    </row>
    <row r="241" spans="1:15" ht="27.75" customHeight="1" x14ac:dyDescent="0.25">
      <c r="A241" s="105">
        <v>45980</v>
      </c>
    </row>
    <row r="242" spans="1:15" ht="27.75" customHeight="1" x14ac:dyDescent="0.25">
      <c r="A242" s="102">
        <v>46097</v>
      </c>
    </row>
    <row r="243" spans="1:15" ht="27.75" customHeight="1" x14ac:dyDescent="0.25">
      <c r="A243" s="105">
        <v>46057</v>
      </c>
    </row>
    <row r="244" spans="1:15" ht="27.75" customHeight="1" x14ac:dyDescent="0.25">
      <c r="A244" s="102">
        <v>46057</v>
      </c>
    </row>
    <row r="245" spans="1:15" ht="27.75" customHeight="1" x14ac:dyDescent="0.25">
      <c r="A245" s="105">
        <v>46057</v>
      </c>
    </row>
    <row r="246" spans="1:15" ht="27.75" customHeight="1" x14ac:dyDescent="0.25">
      <c r="A246" s="102">
        <v>46057</v>
      </c>
    </row>
    <row r="247" spans="1:15" ht="27.75" customHeight="1" x14ac:dyDescent="0.25">
      <c r="A247" s="105">
        <v>45980</v>
      </c>
    </row>
    <row r="248" spans="1:15" ht="27.75" customHeight="1" x14ac:dyDescent="0.25">
      <c r="A248" s="102">
        <v>46097</v>
      </c>
    </row>
    <row r="249" spans="1:15" ht="27.75" customHeight="1" x14ac:dyDescent="0.25">
      <c r="A249" s="105">
        <v>45748</v>
      </c>
    </row>
    <row r="250" spans="1:15" ht="27.75" customHeight="1" x14ac:dyDescent="0.25">
      <c r="A250" s="102">
        <v>46097</v>
      </c>
    </row>
    <row r="251" spans="1:15" ht="27.75" customHeight="1" x14ac:dyDescent="0.25">
      <c r="A251" s="105">
        <v>44209</v>
      </c>
    </row>
    <row r="252" spans="1:15" ht="27.75" customHeight="1" x14ac:dyDescent="0.25">
      <c r="A252" s="102">
        <v>45742</v>
      </c>
    </row>
    <row r="253" spans="1:15" ht="27.75" customHeight="1" x14ac:dyDescent="0.25">
      <c r="A253" s="105">
        <v>45742</v>
      </c>
    </row>
    <row r="254" spans="1:15" ht="27.75" customHeight="1" x14ac:dyDescent="0.25">
      <c r="A254" s="102">
        <v>45742</v>
      </c>
    </row>
    <row r="255" spans="1:15" ht="27.75" customHeight="1" x14ac:dyDescent="0.25">
      <c r="A255" s="105">
        <v>46111</v>
      </c>
    </row>
    <row r="256" spans="1:15" ht="27.75" customHeight="1" x14ac:dyDescent="0.25">
      <c r="A256" s="102">
        <v>45742</v>
      </c>
    </row>
    <row r="257" spans="1:15" ht="27.75" customHeight="1" x14ac:dyDescent="0.25">
      <c r="A257" s="105">
        <v>45742</v>
      </c>
    </row>
    <row r="258" spans="1:15" ht="27.75" customHeight="1" x14ac:dyDescent="0.25">
      <c r="A258" s="102">
        <v>45742</v>
      </c>
    </row>
    <row r="259" spans="1:15" ht="27.75" customHeight="1" x14ac:dyDescent="0.25">
      <c r="A259" s="105">
        <v>46111</v>
      </c>
    </row>
    <row r="260" spans="1:15" ht="27.75" customHeight="1" x14ac:dyDescent="0.25">
      <c r="A260" s="102">
        <v>45748</v>
      </c>
    </row>
    <row r="261" spans="1:15" ht="27.75" customHeight="1" x14ac:dyDescent="0.25">
      <c r="A261" s="105">
        <v>45996</v>
      </c>
    </row>
    <row r="262" spans="1:15" ht="27.75" customHeight="1" x14ac:dyDescent="0.25">
      <c r="A262" s="102">
        <v>46111</v>
      </c>
    </row>
    <row r="263" spans="1:15" ht="27.75" customHeight="1" x14ac:dyDescent="0.25">
      <c r="A263" s="105">
        <v>45742</v>
      </c>
    </row>
    <row r="264" spans="1:15" ht="27.75" customHeight="1" x14ac:dyDescent="0.25">
      <c r="A264" s="102">
        <v>46111</v>
      </c>
    </row>
    <row r="265" spans="1:15" ht="27.75" customHeight="1" x14ac:dyDescent="0.25">
      <c r="A265" s="105">
        <v>45742</v>
      </c>
    </row>
    <row r="266" spans="1:15" ht="27.75" customHeight="1" x14ac:dyDescent="0.25">
      <c r="A266" s="102">
        <v>46111</v>
      </c>
    </row>
    <row r="267" spans="1:15" ht="27.75" customHeight="1" x14ac:dyDescent="0.25">
      <c r="A267" s="105">
        <v>44039</v>
      </c>
    </row>
    <row r="268" spans="1:15" ht="27.75" customHeight="1" x14ac:dyDescent="0.25">
      <c r="A268" s="102">
        <v>44400</v>
      </c>
    </row>
    <row r="269" spans="1:15" ht="27.75" customHeight="1" x14ac:dyDescent="0.25">
      <c r="A269" s="105">
        <v>45742</v>
      </c>
    </row>
    <row r="270" spans="1:15" ht="27.75" customHeight="1" x14ac:dyDescent="0.25">
      <c r="A270" s="102">
        <v>46111</v>
      </c>
    </row>
    <row r="271" spans="1:15" ht="27.75" customHeight="1" x14ac:dyDescent="0.25">
      <c r="A271" s="105">
        <v>44039</v>
      </c>
    </row>
    <row r="272" spans="1:15" ht="27.75" customHeight="1" x14ac:dyDescent="0.25">
      <c r="A272" s="102">
        <v>44400</v>
      </c>
    </row>
    <row r="273" spans="1:15" ht="27.75" customHeight="1" x14ac:dyDescent="0.25">
      <c r="A273" s="105">
        <v>44400</v>
      </c>
    </row>
    <row r="274" spans="1:15" ht="27.75" customHeight="1" x14ac:dyDescent="0.25">
      <c r="A274" s="102">
        <v>45742</v>
      </c>
    </row>
    <row r="275" spans="1:15" ht="27.75" customHeight="1" x14ac:dyDescent="0.25">
      <c r="A275" s="105">
        <v>44039</v>
      </c>
    </row>
    <row r="276" spans="1:15" ht="27.75" customHeight="1" x14ac:dyDescent="0.25">
      <c r="A276" s="102">
        <v>44400</v>
      </c>
    </row>
    <row r="277" spans="1:15" ht="27.75" customHeight="1" x14ac:dyDescent="0.25">
      <c r="A277" s="105">
        <v>44400</v>
      </c>
    </row>
    <row r="278" spans="1:15" ht="27.75" customHeight="1" x14ac:dyDescent="0.25">
      <c r="A278" s="102">
        <v>45714</v>
      </c>
    </row>
    <row r="279" spans="1:15" ht="27.75" customHeight="1" x14ac:dyDescent="0.25">
      <c r="A279" s="105">
        <v>46092</v>
      </c>
    </row>
    <row r="280" spans="1:15" ht="27.75" customHeight="1" x14ac:dyDescent="0.25">
      <c r="A280" s="102">
        <v>44204</v>
      </c>
    </row>
    <row r="281" spans="1:15" ht="27.75" customHeight="1" x14ac:dyDescent="0.25">
      <c r="A281" s="105">
        <v>45462</v>
      </c>
    </row>
    <row r="282" spans="1:15" ht="27.75" customHeight="1" x14ac:dyDescent="0.25">
      <c r="A282" s="102">
        <v>45714</v>
      </c>
    </row>
    <row r="283" spans="1:15" ht="27.75" customHeight="1" x14ac:dyDescent="0.25">
      <c r="A283" s="105">
        <v>46092</v>
      </c>
    </row>
    <row r="284" spans="1:15" ht="27.75" customHeight="1" x14ac:dyDescent="0.25">
      <c r="A284" s="102">
        <v>45714</v>
      </c>
    </row>
    <row r="285" spans="1:15" ht="27.75" customHeight="1" x14ac:dyDescent="0.25">
      <c r="A285" s="105">
        <v>46092</v>
      </c>
    </row>
    <row r="286" spans="1:15" ht="27.75" customHeight="1" x14ac:dyDescent="0.25">
      <c r="A286" s="102">
        <v>46111</v>
      </c>
    </row>
    <row r="287" spans="1:15" ht="27.75" customHeight="1" x14ac:dyDescent="0.25">
      <c r="A287" s="105">
        <v>45714</v>
      </c>
    </row>
    <row r="288" spans="1:15" ht="27.75" customHeight="1" x14ac:dyDescent="0.25">
      <c r="A288" s="102">
        <v>46092</v>
      </c>
    </row>
    <row r="289" spans="1:15" ht="27.75" customHeight="1" x14ac:dyDescent="0.25">
      <c r="A289" s="105">
        <v>46111</v>
      </c>
    </row>
    <row r="290" spans="1:15" ht="27.75" customHeight="1" x14ac:dyDescent="0.25">
      <c r="A290" s="102">
        <v>45714</v>
      </c>
    </row>
    <row r="291" spans="1:15" ht="27.75" customHeight="1" x14ac:dyDescent="0.25">
      <c r="A291" s="105">
        <v>46092</v>
      </c>
    </row>
    <row r="292" spans="1:15" ht="27.75" customHeight="1" x14ac:dyDescent="0.25">
      <c r="A292" s="102">
        <v>46111</v>
      </c>
    </row>
    <row r="293" spans="1:15" ht="27.75" customHeight="1" x14ac:dyDescent="0.25">
      <c r="A293" s="105">
        <v>44204</v>
      </c>
    </row>
    <row r="294" spans="1:15" ht="27.75" customHeight="1" x14ac:dyDescent="0.25">
      <c r="A294" s="102">
        <v>45741</v>
      </c>
    </row>
    <row r="295" spans="1:15" ht="27.75" customHeight="1" x14ac:dyDescent="0.25">
      <c r="A295" s="105">
        <v>46093</v>
      </c>
    </row>
    <row r="296" spans="1:15" ht="27.75" customHeight="1" x14ac:dyDescent="0.25">
      <c r="A296" s="102">
        <v>45741</v>
      </c>
    </row>
    <row r="297" spans="1:15" ht="27.75" customHeight="1" x14ac:dyDescent="0.25">
      <c r="A297" s="105">
        <v>46093</v>
      </c>
    </row>
    <row r="298" spans="1:15" ht="27.75" customHeight="1" x14ac:dyDescent="0.25">
      <c r="A298" s="102">
        <v>45741</v>
      </c>
    </row>
    <row r="299" spans="1:15" ht="27.75" customHeight="1" x14ac:dyDescent="0.25">
      <c r="A299" s="105">
        <v>45741</v>
      </c>
    </row>
    <row r="300" spans="1:15" ht="27.75" customHeight="1" x14ac:dyDescent="0.25">
      <c r="A300" s="102">
        <v>46093</v>
      </c>
    </row>
    <row r="301" spans="1:15" ht="27.75" customHeight="1" x14ac:dyDescent="0.25">
      <c r="A301" s="105">
        <v>46093</v>
      </c>
    </row>
    <row r="302" spans="1:15" ht="27.75" customHeight="1" x14ac:dyDescent="0.25">
      <c r="A302" s="102">
        <v>45741</v>
      </c>
    </row>
    <row r="303" spans="1:15" ht="27.75" customHeight="1" x14ac:dyDescent="0.25">
      <c r="A303" s="105">
        <v>46093</v>
      </c>
    </row>
    <row r="304" spans="1:15" ht="27.75" customHeight="1" x14ac:dyDescent="0.25">
      <c r="A304" s="102">
        <v>45741</v>
      </c>
    </row>
    <row r="305" spans="1:15" ht="27.75" customHeight="1" x14ac:dyDescent="0.25">
      <c r="A305" s="105">
        <v>46093</v>
      </c>
    </row>
    <row r="306" spans="1:15" ht="27.75" customHeight="1" x14ac:dyDescent="0.25">
      <c r="A306" s="102">
        <v>45741</v>
      </c>
    </row>
    <row r="307" spans="1:15" ht="27.75" customHeight="1" x14ac:dyDescent="0.25">
      <c r="A307" s="105">
        <v>46093</v>
      </c>
    </row>
    <row r="308" spans="1:15" ht="27.75" customHeight="1" x14ac:dyDescent="0.25">
      <c r="A308" s="102">
        <v>45741</v>
      </c>
    </row>
    <row r="309" spans="1:15" ht="27.75" customHeight="1" x14ac:dyDescent="0.25">
      <c r="A309" s="105">
        <v>46093</v>
      </c>
    </row>
    <row r="310" spans="1:15" ht="27.75" customHeight="1" x14ac:dyDescent="0.25">
      <c r="A310" s="102">
        <v>44039</v>
      </c>
    </row>
    <row r="311" spans="1:15" ht="27.75" customHeight="1" x14ac:dyDescent="0.25">
      <c r="A311" s="105">
        <v>44039</v>
      </c>
    </row>
    <row r="312" spans="1:15" ht="27.75" customHeight="1" x14ac:dyDescent="0.25">
      <c r="A312" s="102">
        <v>44270</v>
      </c>
    </row>
    <row r="313" spans="1:15" ht="27.75" customHeight="1" x14ac:dyDescent="0.25">
      <c r="A313" s="105">
        <v>44270</v>
      </c>
    </row>
    <row r="314" spans="1:15" ht="27.75" customHeight="1" x14ac:dyDescent="0.25">
      <c r="A314" s="102">
        <v>44270</v>
      </c>
    </row>
    <row r="315" spans="1:15" ht="27.75" customHeight="1" x14ac:dyDescent="0.25">
      <c r="A315" s="105">
        <v>44270</v>
      </c>
    </row>
    <row r="316" spans="1:15" ht="27.75" customHeight="1" x14ac:dyDescent="0.25">
      <c r="A316" s="102">
        <v>44375</v>
      </c>
    </row>
    <row r="317" spans="1:15" ht="27.75" customHeight="1" x14ac:dyDescent="0.25">
      <c r="A317" s="105">
        <v>44375</v>
      </c>
    </row>
    <row r="318" spans="1:15" ht="27.75" customHeight="1" x14ac:dyDescent="0.25">
      <c r="A318" s="102">
        <v>44399</v>
      </c>
    </row>
    <row r="319" spans="1:15" ht="27.75" customHeight="1" x14ac:dyDescent="0.25">
      <c r="A319" s="105">
        <v>44399</v>
      </c>
    </row>
    <row r="320" spans="1:15" ht="27.75" customHeight="1" x14ac:dyDescent="0.25">
      <c r="A320" s="102">
        <v>44510</v>
      </c>
    </row>
    <row r="321" spans="1:15" ht="27.75" customHeight="1" x14ac:dyDescent="0.25">
      <c r="A321" s="105">
        <v>45618</v>
      </c>
    </row>
    <row r="322" spans="1:15" ht="27.75" customHeight="1" x14ac:dyDescent="0.25">
      <c r="A322" s="102">
        <v>45714</v>
      </c>
    </row>
    <row r="323" spans="1:15" ht="27.75" customHeight="1" x14ac:dyDescent="0.25">
      <c r="A323" s="105">
        <v>45741</v>
      </c>
    </row>
    <row r="324" spans="1:15" ht="27.75" customHeight="1" x14ac:dyDescent="0.25">
      <c r="A324" s="102">
        <v>45741</v>
      </c>
    </row>
    <row r="325" spans="1:15" ht="27.75" customHeight="1" x14ac:dyDescent="0.25">
      <c r="A325" s="105">
        <v>45757</v>
      </c>
    </row>
    <row r="326" spans="1:15" ht="27.75" customHeight="1" x14ac:dyDescent="0.25">
      <c r="A326" s="102">
        <v>45757</v>
      </c>
    </row>
    <row r="327" spans="1:15" ht="27.75" customHeight="1" x14ac:dyDescent="0.25">
      <c r="A327" s="105">
        <v>45814</v>
      </c>
    </row>
    <row r="328" spans="1:15" ht="27.75" customHeight="1" x14ac:dyDescent="0.25">
      <c r="A328" s="102">
        <v>45814</v>
      </c>
    </row>
    <row r="329" spans="1:15" ht="27.75" customHeight="1" x14ac:dyDescent="0.25">
      <c r="A329" s="105">
        <v>45814</v>
      </c>
    </row>
    <row r="330" spans="1:15" ht="27.75" customHeight="1" x14ac:dyDescent="0.25">
      <c r="A330" s="102">
        <v>45814</v>
      </c>
    </row>
    <row r="331" spans="1:15" ht="27.75" customHeight="1" x14ac:dyDescent="0.25">
      <c r="A331" s="105">
        <v>45814</v>
      </c>
    </row>
    <row r="332" spans="1:15" ht="27.75" customHeight="1" x14ac:dyDescent="0.25">
      <c r="A332" s="102">
        <v>45814</v>
      </c>
    </row>
    <row r="333" spans="1:15" ht="27.75" customHeight="1" x14ac:dyDescent="0.25">
      <c r="A333" s="105">
        <v>45814</v>
      </c>
    </row>
    <row r="334" spans="1:15" ht="27.75" customHeight="1" x14ac:dyDescent="0.25">
      <c r="A334" s="102">
        <v>46092</v>
      </c>
    </row>
  </sheetData>
  <sheetProtection sheet="1" formatCells="0" formatColumns="0" formatRows="0" sort="0" autoFilter="0"/>
  <autoFilter ref="A1:O334" xr:uid="{00000000-0009-0000-0000-000004000000}"/>
  <pageMargins left="0.75" right="0.75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671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0" customWidth="1"/>
    <col min="2" max="2" width="15" customWidth="1"/>
    <col min="3" max="3" width="12" customWidth="1"/>
    <col min="4" max="5" width="20" customWidth="1"/>
    <col min="6" max="6" width="36" customWidth="1"/>
    <col min="7" max="7" width="16" customWidth="1"/>
    <col min="8" max="8" width="80" customWidth="1"/>
    <col min="9" max="9" width="18" customWidth="1"/>
    <col min="10" max="10" width="13" customWidth="1"/>
    <col min="11" max="11" width="32" customWidth="1"/>
    <col min="12" max="13" width="13" customWidth="1"/>
    <col min="14" max="14" width="56" customWidth="1"/>
  </cols>
  <sheetData>
    <row r="1" spans="1:14" ht="33.75" customHeight="1" x14ac:dyDescent="0.25"/>
    <row r="2" spans="1:14" ht="31.5" customHeight="1" x14ac:dyDescent="0.25">
      <c r="B2" s="102">
        <v>46097</v>
      </c>
      <c r="J2" s="102">
        <v>46097</v>
      </c>
    </row>
    <row r="3" spans="1:14" ht="31.5" customHeight="1" x14ac:dyDescent="0.25">
      <c r="B3" s="105">
        <v>46097</v>
      </c>
      <c r="J3" s="105">
        <v>46097</v>
      </c>
    </row>
    <row r="4" spans="1:14" ht="31.5" customHeight="1" x14ac:dyDescent="0.25">
      <c r="B4" s="102">
        <v>45748</v>
      </c>
      <c r="J4" s="102">
        <v>45748</v>
      </c>
    </row>
    <row r="5" spans="1:14" ht="31.5" customHeight="1" x14ac:dyDescent="0.25">
      <c r="B5" s="105">
        <v>45748</v>
      </c>
      <c r="J5" s="105">
        <v>45748</v>
      </c>
    </row>
    <row r="6" spans="1:14" ht="31.5" customHeight="1" x14ac:dyDescent="0.25">
      <c r="B6" s="102">
        <v>45748</v>
      </c>
      <c r="J6" s="102">
        <v>45748</v>
      </c>
    </row>
    <row r="7" spans="1:14" ht="31.5" customHeight="1" x14ac:dyDescent="0.25">
      <c r="B7" s="105">
        <v>45748</v>
      </c>
      <c r="J7" s="105">
        <v>45748</v>
      </c>
    </row>
    <row r="8" spans="1:14" ht="31.5" customHeight="1" x14ac:dyDescent="0.25">
      <c r="B8" s="102">
        <v>45748</v>
      </c>
      <c r="J8" s="102">
        <v>45748</v>
      </c>
    </row>
    <row r="9" spans="1:14" ht="31.5" customHeight="1" x14ac:dyDescent="0.25">
      <c r="B9" s="105">
        <v>45748</v>
      </c>
      <c r="J9" s="105">
        <v>45748</v>
      </c>
    </row>
    <row r="10" spans="1:14" ht="31.5" customHeight="1" x14ac:dyDescent="0.25">
      <c r="B10" s="102">
        <v>45748</v>
      </c>
      <c r="J10" s="102">
        <v>45748</v>
      </c>
    </row>
    <row r="11" spans="1:14" ht="31.5" customHeight="1" x14ac:dyDescent="0.25">
      <c r="B11" s="105">
        <v>45748</v>
      </c>
      <c r="J11" s="105">
        <v>45748</v>
      </c>
    </row>
    <row r="12" spans="1:14" ht="31.5" customHeight="1" x14ac:dyDescent="0.25">
      <c r="B12" s="102">
        <v>45748</v>
      </c>
      <c r="J12" s="102">
        <v>45748</v>
      </c>
    </row>
    <row r="13" spans="1:14" ht="31.5" customHeight="1" x14ac:dyDescent="0.25">
      <c r="B13" s="105">
        <v>45748</v>
      </c>
      <c r="J13" s="105">
        <v>45748</v>
      </c>
    </row>
    <row r="14" spans="1:14" ht="31.5" customHeight="1" x14ac:dyDescent="0.25">
      <c r="B14" s="102">
        <v>45748</v>
      </c>
      <c r="J14" s="102">
        <v>45748</v>
      </c>
    </row>
    <row r="15" spans="1:14" ht="31.5" customHeight="1" x14ac:dyDescent="0.25">
      <c r="B15" s="105">
        <v>45748</v>
      </c>
      <c r="J15" s="105">
        <v>45748</v>
      </c>
    </row>
    <row r="16" spans="1:14" ht="31.5" customHeight="1" x14ac:dyDescent="0.25">
      <c r="B16" s="102">
        <v>45748</v>
      </c>
      <c r="J16" s="102">
        <v>45748</v>
      </c>
    </row>
    <row r="17" spans="1:14" ht="31.5" customHeight="1" x14ac:dyDescent="0.25">
      <c r="B17" s="105">
        <v>45748</v>
      </c>
      <c r="J17" s="105">
        <v>45748</v>
      </c>
    </row>
    <row r="18" spans="1:14" ht="31.5" customHeight="1" x14ac:dyDescent="0.25">
      <c r="B18" s="102">
        <v>45748</v>
      </c>
      <c r="J18" s="102">
        <v>45748</v>
      </c>
    </row>
    <row r="19" spans="1:14" ht="31.5" customHeight="1" x14ac:dyDescent="0.25">
      <c r="B19" s="105">
        <v>45385</v>
      </c>
      <c r="J19" s="105">
        <v>45748</v>
      </c>
    </row>
    <row r="20" spans="1:14" ht="31.5" customHeight="1" x14ac:dyDescent="0.25">
      <c r="B20" s="102">
        <v>45385</v>
      </c>
      <c r="J20" s="102">
        <v>45748</v>
      </c>
    </row>
    <row r="21" spans="1:14" ht="31.5" customHeight="1" x14ac:dyDescent="0.25">
      <c r="B21" s="105">
        <v>45385</v>
      </c>
      <c r="J21" s="105">
        <v>45748</v>
      </c>
    </row>
    <row r="22" spans="1:14" ht="31.5" customHeight="1" x14ac:dyDescent="0.25">
      <c r="B22" s="102">
        <v>45385</v>
      </c>
      <c r="J22" s="102">
        <v>45748</v>
      </c>
    </row>
    <row r="23" spans="1:14" ht="31.5" customHeight="1" x14ac:dyDescent="0.25">
      <c r="B23" s="105">
        <v>45385</v>
      </c>
      <c r="J23" s="105">
        <v>45748</v>
      </c>
    </row>
    <row r="24" spans="1:14" ht="31.5" customHeight="1" x14ac:dyDescent="0.25">
      <c r="B24" s="102">
        <v>45385</v>
      </c>
      <c r="J24" s="102">
        <v>45748</v>
      </c>
    </row>
    <row r="25" spans="1:14" ht="31.5" customHeight="1" x14ac:dyDescent="0.25">
      <c r="B25" s="105">
        <v>45385</v>
      </c>
      <c r="J25" s="105">
        <v>45748</v>
      </c>
    </row>
    <row r="26" spans="1:14" ht="31.5" customHeight="1" x14ac:dyDescent="0.25">
      <c r="B26" s="102">
        <v>45385</v>
      </c>
      <c r="J26" s="102">
        <v>45748</v>
      </c>
    </row>
    <row r="27" spans="1:14" ht="31.5" customHeight="1" x14ac:dyDescent="0.25">
      <c r="B27" s="105">
        <v>45385</v>
      </c>
      <c r="J27" s="105">
        <v>45748</v>
      </c>
    </row>
    <row r="28" spans="1:14" ht="31.5" customHeight="1" x14ac:dyDescent="0.25">
      <c r="B28" s="102">
        <v>45385</v>
      </c>
      <c r="J28" s="102">
        <v>45748</v>
      </c>
    </row>
    <row r="29" spans="1:14" ht="31.5" customHeight="1" x14ac:dyDescent="0.25">
      <c r="B29" s="105">
        <v>45385</v>
      </c>
      <c r="J29" s="105">
        <v>45748</v>
      </c>
    </row>
    <row r="30" spans="1:14" ht="31.5" customHeight="1" x14ac:dyDescent="0.25">
      <c r="B30" s="102">
        <v>45385</v>
      </c>
      <c r="J30" s="102">
        <v>45748</v>
      </c>
    </row>
    <row r="31" spans="1:14" ht="31.5" customHeight="1" x14ac:dyDescent="0.25">
      <c r="B31" s="105">
        <v>45385</v>
      </c>
      <c r="J31" s="105">
        <v>45748</v>
      </c>
    </row>
    <row r="32" spans="1:14" ht="31.5" customHeight="1" x14ac:dyDescent="0.25">
      <c r="B32" s="102">
        <v>45385</v>
      </c>
      <c r="J32" s="102">
        <v>45748</v>
      </c>
    </row>
    <row r="33" spans="1:14" ht="31.5" customHeight="1" x14ac:dyDescent="0.25">
      <c r="B33" s="105">
        <v>45385</v>
      </c>
      <c r="J33" s="105">
        <v>45748</v>
      </c>
    </row>
    <row r="34" spans="1:14" ht="31.5" customHeight="1" x14ac:dyDescent="0.25">
      <c r="B34" s="102">
        <v>45385</v>
      </c>
      <c r="J34" s="102">
        <v>45748</v>
      </c>
    </row>
    <row r="35" spans="1:14" ht="31.5" customHeight="1" x14ac:dyDescent="0.25">
      <c r="B35" s="105">
        <v>45385</v>
      </c>
      <c r="J35" s="105">
        <v>45748</v>
      </c>
    </row>
    <row r="36" spans="1:14" ht="31.5" customHeight="1" x14ac:dyDescent="0.25">
      <c r="B36" s="102">
        <v>45385</v>
      </c>
      <c r="J36" s="102">
        <v>45748</v>
      </c>
    </row>
    <row r="37" spans="1:14" ht="31.5" customHeight="1" x14ac:dyDescent="0.25">
      <c r="B37" s="105">
        <v>45385</v>
      </c>
      <c r="J37" s="105">
        <v>45748</v>
      </c>
    </row>
    <row r="38" spans="1:14" ht="31.5" customHeight="1" x14ac:dyDescent="0.25">
      <c r="B38" s="102">
        <v>45385</v>
      </c>
      <c r="J38" s="102">
        <v>45748</v>
      </c>
    </row>
    <row r="39" spans="1:14" ht="31.5" customHeight="1" x14ac:dyDescent="0.25">
      <c r="B39" s="105">
        <v>44901</v>
      </c>
      <c r="J39" s="105">
        <v>45748</v>
      </c>
    </row>
    <row r="40" spans="1:14" ht="31.5" customHeight="1" x14ac:dyDescent="0.25">
      <c r="B40" s="102">
        <v>44634</v>
      </c>
      <c r="J40" s="102">
        <v>45219</v>
      </c>
    </row>
    <row r="41" spans="1:14" ht="31.5" customHeight="1" x14ac:dyDescent="0.25">
      <c r="B41" s="105">
        <v>44634</v>
      </c>
      <c r="J41" s="105">
        <v>45219</v>
      </c>
    </row>
    <row r="42" spans="1:14" ht="31.5" customHeight="1" x14ac:dyDescent="0.25">
      <c r="B42" s="102">
        <v>44634</v>
      </c>
      <c r="J42" s="102">
        <v>45748</v>
      </c>
    </row>
    <row r="43" spans="1:14" ht="31.5" customHeight="1" x14ac:dyDescent="0.25">
      <c r="B43" s="105">
        <v>45980</v>
      </c>
      <c r="J43" s="105">
        <v>45980</v>
      </c>
    </row>
    <row r="44" spans="1:14" ht="31.5" customHeight="1" x14ac:dyDescent="0.25">
      <c r="B44" s="102">
        <v>45980</v>
      </c>
      <c r="J44" s="102">
        <v>45980</v>
      </c>
    </row>
    <row r="45" spans="1:14" ht="31.5" customHeight="1" x14ac:dyDescent="0.25">
      <c r="B45" s="105">
        <v>45036</v>
      </c>
      <c r="J45" s="105">
        <v>45748</v>
      </c>
    </row>
    <row r="46" spans="1:14" ht="31.5" customHeight="1" x14ac:dyDescent="0.25">
      <c r="B46" s="102">
        <v>45219</v>
      </c>
      <c r="J46" s="102">
        <v>45219</v>
      </c>
    </row>
    <row r="47" spans="1:14" ht="31.5" customHeight="1" x14ac:dyDescent="0.25">
      <c r="B47" s="105">
        <v>45980</v>
      </c>
      <c r="J47" s="105">
        <v>45980</v>
      </c>
    </row>
    <row r="48" spans="1:14" ht="31.5" customHeight="1" x14ac:dyDescent="0.25">
      <c r="B48" s="102">
        <v>45980</v>
      </c>
      <c r="J48" s="102">
        <v>45980</v>
      </c>
    </row>
    <row r="49" spans="1:14" ht="31.5" customHeight="1" x14ac:dyDescent="0.25">
      <c r="B49" s="105">
        <v>45980</v>
      </c>
      <c r="J49" s="105">
        <v>45980</v>
      </c>
    </row>
    <row r="50" spans="1:14" ht="31.5" customHeight="1" x14ac:dyDescent="0.25">
      <c r="B50" s="102">
        <v>45219</v>
      </c>
      <c r="J50" s="102">
        <v>45219</v>
      </c>
    </row>
    <row r="51" spans="1:14" ht="31.5" customHeight="1" x14ac:dyDescent="0.25">
      <c r="B51" s="105">
        <v>44312</v>
      </c>
      <c r="J51" s="105">
        <v>45748</v>
      </c>
    </row>
    <row r="52" spans="1:14" ht="31.5" customHeight="1" x14ac:dyDescent="0.25">
      <c r="B52" s="102">
        <v>44312</v>
      </c>
      <c r="J52" s="102">
        <v>45748</v>
      </c>
    </row>
    <row r="53" spans="1:14" ht="31.5" customHeight="1" x14ac:dyDescent="0.25">
      <c r="B53" s="105">
        <v>43949</v>
      </c>
      <c r="J53" s="105">
        <v>45219</v>
      </c>
    </row>
    <row r="54" spans="1:14" ht="31.5" customHeight="1" x14ac:dyDescent="0.25">
      <c r="B54" s="102">
        <v>43949</v>
      </c>
      <c r="J54" s="102">
        <v>45748</v>
      </c>
      <c r="M54" s="102">
        <v>45076</v>
      </c>
    </row>
    <row r="55" spans="1:14" ht="31.5" customHeight="1" x14ac:dyDescent="0.25">
      <c r="B55" s="105">
        <v>44712</v>
      </c>
      <c r="J55" s="105">
        <v>45729</v>
      </c>
    </row>
    <row r="56" spans="1:14" ht="31.5" customHeight="1" x14ac:dyDescent="0.25">
      <c r="B56" s="102">
        <v>44207</v>
      </c>
      <c r="J56" s="102">
        <v>45729</v>
      </c>
    </row>
    <row r="57" spans="1:14" ht="31.5" customHeight="1" x14ac:dyDescent="0.25">
      <c r="B57" s="105">
        <v>45729</v>
      </c>
      <c r="J57" s="105">
        <v>45729</v>
      </c>
    </row>
    <row r="58" spans="1:14" ht="31.5" customHeight="1" x14ac:dyDescent="0.25">
      <c r="B58" s="102">
        <v>45729</v>
      </c>
      <c r="J58" s="102">
        <v>45729</v>
      </c>
    </row>
    <row r="59" spans="1:14" ht="31.5" customHeight="1" x14ac:dyDescent="0.25">
      <c r="B59" s="105">
        <v>45729</v>
      </c>
      <c r="J59" s="105">
        <v>45729</v>
      </c>
    </row>
    <row r="60" spans="1:14" ht="31.5" customHeight="1" x14ac:dyDescent="0.25">
      <c r="B60" s="102">
        <v>45729</v>
      </c>
      <c r="J60" s="102">
        <v>45729</v>
      </c>
    </row>
    <row r="61" spans="1:14" ht="31.5" customHeight="1" x14ac:dyDescent="0.25">
      <c r="B61" s="105">
        <v>45729</v>
      </c>
      <c r="J61" s="105">
        <v>45729</v>
      </c>
    </row>
    <row r="62" spans="1:14" ht="31.5" customHeight="1" x14ac:dyDescent="0.25">
      <c r="B62" s="102">
        <v>45729</v>
      </c>
      <c r="J62" s="102">
        <v>45729</v>
      </c>
    </row>
    <row r="63" spans="1:14" ht="31.5" customHeight="1" x14ac:dyDescent="0.25">
      <c r="B63" s="105">
        <v>45729</v>
      </c>
      <c r="J63" s="105">
        <v>45729</v>
      </c>
    </row>
    <row r="64" spans="1:14" ht="31.5" customHeight="1" x14ac:dyDescent="0.25">
      <c r="B64" s="102">
        <v>45729</v>
      </c>
      <c r="J64" s="102">
        <v>45729</v>
      </c>
    </row>
    <row r="65" spans="1:14" ht="31.5" customHeight="1" x14ac:dyDescent="0.25">
      <c r="B65" s="105">
        <v>45729</v>
      </c>
      <c r="J65" s="105">
        <v>45729</v>
      </c>
    </row>
    <row r="66" spans="1:14" ht="31.5" customHeight="1" x14ac:dyDescent="0.25">
      <c r="B66" s="102">
        <v>45729</v>
      </c>
      <c r="J66" s="102">
        <v>45729</v>
      </c>
    </row>
    <row r="67" spans="1:14" ht="31.5" customHeight="1" x14ac:dyDescent="0.25">
      <c r="B67" s="105">
        <v>45400</v>
      </c>
      <c r="J67" s="105">
        <v>45729</v>
      </c>
    </row>
    <row r="68" spans="1:14" ht="31.5" customHeight="1" x14ac:dyDescent="0.25">
      <c r="B68" s="102">
        <v>45400</v>
      </c>
      <c r="J68" s="102">
        <v>45729</v>
      </c>
    </row>
    <row r="69" spans="1:14" ht="31.5" customHeight="1" x14ac:dyDescent="0.25">
      <c r="B69" s="105">
        <v>45400</v>
      </c>
      <c r="J69" s="105">
        <v>45729</v>
      </c>
    </row>
    <row r="70" spans="1:14" ht="31.5" customHeight="1" x14ac:dyDescent="0.25">
      <c r="B70" s="102">
        <v>45400</v>
      </c>
      <c r="J70" s="102">
        <v>45729</v>
      </c>
    </row>
    <row r="71" spans="1:14" ht="31.5" customHeight="1" x14ac:dyDescent="0.25">
      <c r="B71" s="105">
        <v>45400</v>
      </c>
      <c r="J71" s="105">
        <v>45729</v>
      </c>
    </row>
    <row r="72" spans="1:14" ht="31.5" customHeight="1" x14ac:dyDescent="0.25">
      <c r="B72" s="102">
        <v>45400</v>
      </c>
      <c r="J72" s="102">
        <v>45729</v>
      </c>
    </row>
    <row r="73" spans="1:14" ht="31.5" customHeight="1" x14ac:dyDescent="0.25">
      <c r="B73" s="105">
        <v>45400</v>
      </c>
      <c r="J73" s="105">
        <v>45729</v>
      </c>
    </row>
    <row r="74" spans="1:14" ht="31.5" customHeight="1" x14ac:dyDescent="0.25">
      <c r="B74" s="102">
        <v>45400</v>
      </c>
      <c r="J74" s="102">
        <v>45729</v>
      </c>
    </row>
    <row r="75" spans="1:14" ht="31.5" customHeight="1" x14ac:dyDescent="0.25">
      <c r="B75" s="105">
        <v>45400</v>
      </c>
      <c r="J75" s="105">
        <v>45729</v>
      </c>
    </row>
    <row r="76" spans="1:14" ht="31.5" customHeight="1" x14ac:dyDescent="0.25">
      <c r="B76" s="102">
        <v>45400</v>
      </c>
      <c r="J76" s="102">
        <v>45729</v>
      </c>
    </row>
    <row r="77" spans="1:14" ht="31.5" customHeight="1" x14ac:dyDescent="0.25">
      <c r="B77" s="105">
        <v>45400</v>
      </c>
      <c r="J77" s="105">
        <v>45729</v>
      </c>
    </row>
    <row r="78" spans="1:14" ht="31.5" customHeight="1" x14ac:dyDescent="0.25">
      <c r="B78" s="102">
        <v>45400</v>
      </c>
      <c r="J78" s="102">
        <v>45729</v>
      </c>
    </row>
    <row r="79" spans="1:14" ht="31.5" customHeight="1" x14ac:dyDescent="0.25">
      <c r="B79" s="105">
        <v>45400</v>
      </c>
      <c r="J79" s="105">
        <v>45729</v>
      </c>
    </row>
    <row r="80" spans="1:14" ht="31.5" customHeight="1" x14ac:dyDescent="0.25">
      <c r="B80" s="102">
        <v>46093</v>
      </c>
      <c r="J80" s="102">
        <v>46093</v>
      </c>
    </row>
    <row r="81" spans="1:14" ht="31.5" customHeight="1" x14ac:dyDescent="0.25">
      <c r="B81" s="105">
        <v>46093</v>
      </c>
      <c r="J81" s="105">
        <v>46093</v>
      </c>
    </row>
    <row r="82" spans="1:14" ht="31.5" customHeight="1" x14ac:dyDescent="0.25">
      <c r="B82" s="102">
        <v>46093</v>
      </c>
      <c r="J82" s="102">
        <v>46093</v>
      </c>
    </row>
    <row r="83" spans="1:14" ht="31.5" customHeight="1" x14ac:dyDescent="0.25">
      <c r="B83" s="105">
        <v>46093</v>
      </c>
      <c r="J83" s="105">
        <v>46093</v>
      </c>
    </row>
    <row r="84" spans="1:14" ht="31.5" customHeight="1" x14ac:dyDescent="0.25">
      <c r="B84" s="102">
        <v>45384</v>
      </c>
      <c r="J84" s="102">
        <v>45755</v>
      </c>
    </row>
    <row r="85" spans="1:14" ht="31.5" customHeight="1" x14ac:dyDescent="0.25">
      <c r="B85" s="105">
        <v>45384</v>
      </c>
      <c r="J85" s="105">
        <v>45755</v>
      </c>
    </row>
    <row r="86" spans="1:14" ht="31.5" customHeight="1" x14ac:dyDescent="0.25">
      <c r="B86" s="102">
        <v>45384</v>
      </c>
      <c r="J86" s="102">
        <v>45755</v>
      </c>
    </row>
    <row r="87" spans="1:14" ht="31.5" customHeight="1" x14ac:dyDescent="0.25">
      <c r="B87" s="105">
        <v>43955</v>
      </c>
      <c r="J87" s="105">
        <v>45755</v>
      </c>
    </row>
    <row r="88" spans="1:14" ht="31.5" customHeight="1" x14ac:dyDescent="0.25">
      <c r="B88" s="102">
        <v>45755</v>
      </c>
      <c r="J88" s="102">
        <v>45755</v>
      </c>
    </row>
    <row r="89" spans="1:14" ht="31.5" customHeight="1" x14ac:dyDescent="0.25">
      <c r="B89" s="105">
        <v>45755</v>
      </c>
      <c r="J89" s="105">
        <v>45755</v>
      </c>
    </row>
    <row r="90" spans="1:14" ht="31.5" customHeight="1" x14ac:dyDescent="0.25">
      <c r="B90" s="102">
        <v>45755</v>
      </c>
      <c r="J90" s="102">
        <v>45755</v>
      </c>
    </row>
    <row r="91" spans="1:14" ht="31.5" customHeight="1" x14ac:dyDescent="0.25">
      <c r="B91" s="105">
        <v>45755</v>
      </c>
      <c r="J91" s="105">
        <v>45755</v>
      </c>
    </row>
    <row r="92" spans="1:14" ht="31.5" customHeight="1" x14ac:dyDescent="0.25">
      <c r="B92" s="102">
        <v>45755</v>
      </c>
      <c r="J92" s="102">
        <v>45755</v>
      </c>
    </row>
    <row r="93" spans="1:14" ht="31.5" customHeight="1" x14ac:dyDescent="0.25">
      <c r="B93" s="105">
        <v>45755</v>
      </c>
      <c r="J93" s="105">
        <v>45755</v>
      </c>
    </row>
    <row r="94" spans="1:14" ht="31.5" customHeight="1" x14ac:dyDescent="0.25">
      <c r="B94" s="102">
        <v>45755</v>
      </c>
      <c r="J94" s="102">
        <v>46093</v>
      </c>
    </row>
    <row r="95" spans="1:14" ht="31.5" customHeight="1" x14ac:dyDescent="0.25">
      <c r="B95" s="105">
        <v>45755</v>
      </c>
      <c r="J95" s="105">
        <v>46093</v>
      </c>
    </row>
    <row r="96" spans="1:14" ht="31.5" customHeight="1" x14ac:dyDescent="0.25">
      <c r="B96" s="102">
        <v>45755</v>
      </c>
      <c r="J96" s="102">
        <v>45755</v>
      </c>
    </row>
    <row r="97" spans="1:14" ht="31.5" customHeight="1" x14ac:dyDescent="0.25">
      <c r="B97" s="105">
        <v>45755</v>
      </c>
      <c r="J97" s="105">
        <v>45755</v>
      </c>
    </row>
    <row r="98" spans="1:14" ht="31.5" customHeight="1" x14ac:dyDescent="0.25">
      <c r="B98" s="102">
        <v>45755</v>
      </c>
      <c r="J98" s="102">
        <v>45755</v>
      </c>
    </row>
    <row r="99" spans="1:14" ht="31.5" customHeight="1" x14ac:dyDescent="0.25">
      <c r="B99" s="105">
        <v>45307</v>
      </c>
      <c r="J99" s="105">
        <v>45289</v>
      </c>
    </row>
    <row r="100" spans="1:14" ht="31.5" customHeight="1" x14ac:dyDescent="0.25">
      <c r="B100" s="102">
        <v>45307</v>
      </c>
      <c r="J100" s="102">
        <v>45289</v>
      </c>
    </row>
    <row r="101" spans="1:14" ht="31.5" customHeight="1" x14ac:dyDescent="0.25">
      <c r="B101" s="105">
        <v>44608</v>
      </c>
      <c r="J101" s="105">
        <v>45755</v>
      </c>
      <c r="M101" s="105">
        <v>45054</v>
      </c>
    </row>
    <row r="102" spans="1:14" ht="31.5" customHeight="1" x14ac:dyDescent="0.25">
      <c r="B102" s="102">
        <v>44770</v>
      </c>
      <c r="J102" s="102">
        <v>45755</v>
      </c>
    </row>
    <row r="103" spans="1:14" ht="31.5" customHeight="1" x14ac:dyDescent="0.25">
      <c r="B103" s="105">
        <v>44770</v>
      </c>
      <c r="J103" s="105">
        <v>45755</v>
      </c>
    </row>
    <row r="104" spans="1:14" ht="31.5" customHeight="1" x14ac:dyDescent="0.25">
      <c r="B104" s="102">
        <v>44770</v>
      </c>
      <c r="J104" s="102">
        <v>45755</v>
      </c>
    </row>
    <row r="105" spans="1:14" ht="31.5" customHeight="1" x14ac:dyDescent="0.25">
      <c r="B105" s="105">
        <v>44770</v>
      </c>
      <c r="J105" s="105">
        <v>45755</v>
      </c>
    </row>
    <row r="106" spans="1:14" ht="31.5" customHeight="1" x14ac:dyDescent="0.25">
      <c r="B106" s="102">
        <v>44770</v>
      </c>
      <c r="J106" s="102">
        <v>45755</v>
      </c>
    </row>
    <row r="107" spans="1:14" ht="31.5" customHeight="1" x14ac:dyDescent="0.25">
      <c r="B107" s="105">
        <v>44770</v>
      </c>
      <c r="J107" s="105">
        <v>45755</v>
      </c>
    </row>
    <row r="108" spans="1:14" ht="31.5" customHeight="1" x14ac:dyDescent="0.25">
      <c r="B108" s="102">
        <v>44770</v>
      </c>
      <c r="J108" s="102">
        <v>45755</v>
      </c>
    </row>
    <row r="109" spans="1:14" ht="31.5" customHeight="1" x14ac:dyDescent="0.25">
      <c r="B109" s="105">
        <v>44770</v>
      </c>
      <c r="J109" s="105">
        <v>46093</v>
      </c>
    </row>
    <row r="110" spans="1:14" ht="31.5" customHeight="1" x14ac:dyDescent="0.25">
      <c r="B110" s="102">
        <v>44770</v>
      </c>
      <c r="J110" s="102">
        <v>45755</v>
      </c>
    </row>
    <row r="111" spans="1:14" ht="31.5" customHeight="1" x14ac:dyDescent="0.25">
      <c r="B111" s="105">
        <v>44712</v>
      </c>
      <c r="J111" s="105">
        <v>45729</v>
      </c>
    </row>
    <row r="112" spans="1:14" ht="31.5" customHeight="1" x14ac:dyDescent="0.25">
      <c r="B112" s="102">
        <v>44207</v>
      </c>
      <c r="J112" s="102">
        <v>45729</v>
      </c>
    </row>
    <row r="113" spans="1:14" ht="31.5" customHeight="1" x14ac:dyDescent="0.25">
      <c r="B113" s="105">
        <v>44207</v>
      </c>
      <c r="J113" s="105">
        <v>45729</v>
      </c>
    </row>
    <row r="114" spans="1:14" ht="31.5" customHeight="1" x14ac:dyDescent="0.25">
      <c r="B114" s="102">
        <v>44207</v>
      </c>
      <c r="J114" s="102">
        <v>45729</v>
      </c>
    </row>
    <row r="115" spans="1:14" ht="31.5" customHeight="1" x14ac:dyDescent="0.25">
      <c r="B115" s="105">
        <v>44207</v>
      </c>
      <c r="J115" s="105">
        <v>45729</v>
      </c>
    </row>
    <row r="116" spans="1:14" ht="31.5" customHeight="1" x14ac:dyDescent="0.25">
      <c r="B116" s="102">
        <v>45729</v>
      </c>
      <c r="J116" s="102">
        <v>45729</v>
      </c>
    </row>
    <row r="117" spans="1:14" ht="31.5" customHeight="1" x14ac:dyDescent="0.25">
      <c r="B117" s="105">
        <v>45729</v>
      </c>
      <c r="J117" s="105">
        <v>45729</v>
      </c>
    </row>
    <row r="118" spans="1:14" ht="31.5" customHeight="1" x14ac:dyDescent="0.25">
      <c r="B118" s="102">
        <v>45400</v>
      </c>
      <c r="J118" s="102">
        <v>45729</v>
      </c>
    </row>
    <row r="119" spans="1:14" ht="31.5" customHeight="1" x14ac:dyDescent="0.25">
      <c r="B119" s="105">
        <v>45400</v>
      </c>
      <c r="J119" s="105">
        <v>45729</v>
      </c>
    </row>
    <row r="120" spans="1:14" ht="31.5" customHeight="1" x14ac:dyDescent="0.25">
      <c r="B120" s="102">
        <v>45400</v>
      </c>
      <c r="J120" s="102">
        <v>45729</v>
      </c>
    </row>
    <row r="121" spans="1:14" ht="31.5" customHeight="1" x14ac:dyDescent="0.25">
      <c r="B121" s="105">
        <v>45400</v>
      </c>
      <c r="J121" s="105">
        <v>45729</v>
      </c>
    </row>
    <row r="122" spans="1:14" ht="31.5" customHeight="1" x14ac:dyDescent="0.25">
      <c r="B122" s="102">
        <v>45400</v>
      </c>
      <c r="J122" s="102">
        <v>45729</v>
      </c>
    </row>
    <row r="123" spans="1:14" ht="31.5" customHeight="1" x14ac:dyDescent="0.25">
      <c r="B123" s="105">
        <v>45400</v>
      </c>
      <c r="J123" s="105">
        <v>45729</v>
      </c>
    </row>
    <row r="124" spans="1:14" ht="31.5" customHeight="1" x14ac:dyDescent="0.25">
      <c r="B124" s="102">
        <v>45400</v>
      </c>
      <c r="J124" s="102">
        <v>45729</v>
      </c>
    </row>
    <row r="125" spans="1:14" ht="31.5" customHeight="1" x14ac:dyDescent="0.25">
      <c r="B125" s="105">
        <v>45400</v>
      </c>
      <c r="J125" s="105">
        <v>45729</v>
      </c>
    </row>
    <row r="126" spans="1:14" ht="31.5" customHeight="1" x14ac:dyDescent="0.25">
      <c r="B126" s="102">
        <v>45400</v>
      </c>
      <c r="J126" s="102">
        <v>45729</v>
      </c>
    </row>
    <row r="127" spans="1:14" ht="31.5" customHeight="1" x14ac:dyDescent="0.25">
      <c r="B127" s="105">
        <v>45400</v>
      </c>
      <c r="J127" s="105">
        <v>45729</v>
      </c>
    </row>
    <row r="128" spans="1:14" ht="31.5" customHeight="1" x14ac:dyDescent="0.25">
      <c r="B128" s="102">
        <v>46092</v>
      </c>
      <c r="J128" s="102">
        <v>46092</v>
      </c>
    </row>
    <row r="129" spans="1:14" ht="31.5" customHeight="1" x14ac:dyDescent="0.25">
      <c r="B129" s="105">
        <v>46092</v>
      </c>
      <c r="J129" s="105">
        <v>46092</v>
      </c>
    </row>
    <row r="130" spans="1:14" ht="31.5" customHeight="1" x14ac:dyDescent="0.25">
      <c r="B130" s="102">
        <v>46092</v>
      </c>
      <c r="J130" s="102">
        <v>46092</v>
      </c>
    </row>
    <row r="131" spans="1:14" ht="31.5" customHeight="1" x14ac:dyDescent="0.25">
      <c r="B131" s="105">
        <v>44991</v>
      </c>
      <c r="J131" s="105">
        <v>46092</v>
      </c>
    </row>
    <row r="132" spans="1:14" ht="31.5" customHeight="1" x14ac:dyDescent="0.25">
      <c r="B132" s="102">
        <v>46210</v>
      </c>
      <c r="J132" s="102">
        <v>46210</v>
      </c>
    </row>
    <row r="133" spans="1:14" ht="31.5" customHeight="1" x14ac:dyDescent="0.25">
      <c r="B133" s="105">
        <v>46210</v>
      </c>
      <c r="J133" s="105">
        <v>46210</v>
      </c>
    </row>
    <row r="134" spans="1:14" ht="31.5" customHeight="1" x14ac:dyDescent="0.25">
      <c r="B134" s="102">
        <v>46210</v>
      </c>
      <c r="J134" s="102">
        <v>46210</v>
      </c>
    </row>
    <row r="135" spans="1:14" ht="31.5" customHeight="1" x14ac:dyDescent="0.25">
      <c r="B135" s="105">
        <v>46210</v>
      </c>
      <c r="J135" s="105">
        <v>46210</v>
      </c>
    </row>
    <row r="136" spans="1:14" ht="31.5" customHeight="1" x14ac:dyDescent="0.25">
      <c r="B136" s="102">
        <v>46210</v>
      </c>
      <c r="J136" s="102">
        <v>46210</v>
      </c>
    </row>
    <row r="137" spans="1:14" ht="31.5" customHeight="1" x14ac:dyDescent="0.25">
      <c r="B137" s="105">
        <v>46210</v>
      </c>
      <c r="J137" s="105">
        <v>46210</v>
      </c>
    </row>
    <row r="138" spans="1:14" ht="31.5" customHeight="1" x14ac:dyDescent="0.25">
      <c r="B138" s="102">
        <v>46210</v>
      </c>
      <c r="J138" s="102">
        <v>46210</v>
      </c>
    </row>
    <row r="139" spans="1:14" ht="31.5" customHeight="1" x14ac:dyDescent="0.25">
      <c r="B139" s="105">
        <v>46210</v>
      </c>
      <c r="J139" s="105">
        <v>46210</v>
      </c>
    </row>
    <row r="140" spans="1:14" ht="31.5" customHeight="1" x14ac:dyDescent="0.25">
      <c r="B140" s="102">
        <v>46210</v>
      </c>
      <c r="J140" s="102">
        <v>46210</v>
      </c>
    </row>
    <row r="141" spans="1:14" ht="31.5" customHeight="1" x14ac:dyDescent="0.25">
      <c r="B141" s="105">
        <v>46210</v>
      </c>
      <c r="J141" s="105">
        <v>46210</v>
      </c>
    </row>
    <row r="142" spans="1:14" ht="31.5" customHeight="1" x14ac:dyDescent="0.25">
      <c r="B142" s="102">
        <v>46210</v>
      </c>
      <c r="J142" s="102">
        <v>46210</v>
      </c>
    </row>
    <row r="143" spans="1:14" ht="31.5" customHeight="1" x14ac:dyDescent="0.25">
      <c r="B143" s="105">
        <v>46210</v>
      </c>
      <c r="J143" s="105">
        <v>46210</v>
      </c>
    </row>
    <row r="144" spans="1:14" ht="31.5" customHeight="1" x14ac:dyDescent="0.25">
      <c r="B144" s="102">
        <v>46210</v>
      </c>
      <c r="J144" s="102">
        <v>46210</v>
      </c>
    </row>
    <row r="145" spans="1:14" ht="31.5" customHeight="1" x14ac:dyDescent="0.25">
      <c r="B145" s="105">
        <v>46210</v>
      </c>
      <c r="J145" s="105">
        <v>46210</v>
      </c>
    </row>
    <row r="146" spans="1:14" ht="31.5" customHeight="1" x14ac:dyDescent="0.25">
      <c r="B146" s="102">
        <v>46210</v>
      </c>
      <c r="J146" s="102">
        <v>46210</v>
      </c>
    </row>
    <row r="147" spans="1:14" ht="31.5" customHeight="1" x14ac:dyDescent="0.25">
      <c r="B147" s="105">
        <v>46210</v>
      </c>
      <c r="J147" s="105">
        <v>46210</v>
      </c>
      <c r="M147" s="105">
        <v>46254</v>
      </c>
    </row>
    <row r="148" spans="1:14" ht="31.5" customHeight="1" x14ac:dyDescent="0.25">
      <c r="B148" s="102">
        <v>46210</v>
      </c>
      <c r="J148" s="102">
        <v>46210</v>
      </c>
    </row>
    <row r="149" spans="1:14" ht="31.5" customHeight="1" x14ac:dyDescent="0.25">
      <c r="B149" s="105">
        <v>46210</v>
      </c>
      <c r="J149" s="105">
        <v>46210</v>
      </c>
    </row>
    <row r="150" spans="1:14" ht="31.5" customHeight="1" x14ac:dyDescent="0.25">
      <c r="B150" s="102">
        <v>45810</v>
      </c>
      <c r="J150" s="102">
        <v>46210</v>
      </c>
    </row>
    <row r="151" spans="1:14" ht="31.5" customHeight="1" x14ac:dyDescent="0.25">
      <c r="B151" s="105">
        <v>45810</v>
      </c>
      <c r="J151" s="105">
        <v>46210</v>
      </c>
      <c r="M151" s="105">
        <v>46254</v>
      </c>
    </row>
    <row r="152" spans="1:14" ht="31.5" customHeight="1" x14ac:dyDescent="0.25">
      <c r="B152" s="102">
        <v>44588</v>
      </c>
      <c r="J152" s="102">
        <v>46210</v>
      </c>
    </row>
    <row r="153" spans="1:14" ht="31.5" customHeight="1" x14ac:dyDescent="0.25">
      <c r="B153" s="105">
        <v>44476</v>
      </c>
      <c r="J153" s="105">
        <v>44476</v>
      </c>
    </row>
    <row r="154" spans="1:14" ht="31.5" customHeight="1" x14ac:dyDescent="0.25">
      <c r="B154" s="102">
        <v>44476</v>
      </c>
      <c r="J154" s="102">
        <v>44476</v>
      </c>
    </row>
    <row r="155" spans="1:14" ht="31.5" customHeight="1" x14ac:dyDescent="0.25">
      <c r="B155" s="105">
        <v>44476</v>
      </c>
      <c r="J155" s="105">
        <v>44476</v>
      </c>
    </row>
    <row r="156" spans="1:14" ht="31.5" customHeight="1" x14ac:dyDescent="0.25">
      <c r="B156" s="102">
        <v>46092</v>
      </c>
      <c r="J156" s="102">
        <v>46092</v>
      </c>
    </row>
    <row r="157" spans="1:14" ht="31.5" customHeight="1" x14ac:dyDescent="0.25">
      <c r="B157" s="105">
        <v>45384</v>
      </c>
      <c r="J157" s="105">
        <v>45742</v>
      </c>
    </row>
    <row r="158" spans="1:14" ht="31.5" customHeight="1" x14ac:dyDescent="0.25">
      <c r="B158" s="102">
        <v>45384</v>
      </c>
      <c r="J158" s="102">
        <v>45742</v>
      </c>
    </row>
    <row r="159" spans="1:14" ht="31.5" customHeight="1" x14ac:dyDescent="0.25">
      <c r="B159" s="105">
        <v>45384</v>
      </c>
      <c r="J159" s="105">
        <v>45742</v>
      </c>
    </row>
    <row r="160" spans="1:14" ht="31.5" customHeight="1" x14ac:dyDescent="0.25">
      <c r="B160" s="102">
        <v>45384</v>
      </c>
      <c r="J160" s="102">
        <v>45742</v>
      </c>
    </row>
    <row r="161" spans="1:14" ht="31.5" customHeight="1" x14ac:dyDescent="0.25">
      <c r="B161" s="105">
        <v>45384</v>
      </c>
      <c r="J161" s="105">
        <v>45742</v>
      </c>
    </row>
    <row r="162" spans="1:14" ht="31.5" customHeight="1" x14ac:dyDescent="0.25">
      <c r="B162" s="102">
        <v>45384</v>
      </c>
      <c r="J162" s="102">
        <v>45742</v>
      </c>
    </row>
    <row r="163" spans="1:14" ht="31.5" customHeight="1" x14ac:dyDescent="0.25">
      <c r="B163" s="105">
        <v>44635</v>
      </c>
      <c r="J163" s="105">
        <v>45742</v>
      </c>
    </row>
    <row r="164" spans="1:14" ht="31.5" customHeight="1" x14ac:dyDescent="0.25">
      <c r="B164" s="102">
        <v>44635</v>
      </c>
      <c r="J164" s="102">
        <v>45742</v>
      </c>
    </row>
    <row r="165" spans="1:14" ht="31.5" customHeight="1" x14ac:dyDescent="0.25">
      <c r="B165" s="105">
        <v>46007</v>
      </c>
      <c r="J165" s="105">
        <v>46007</v>
      </c>
    </row>
    <row r="166" spans="1:14" ht="31.5" customHeight="1" x14ac:dyDescent="0.25">
      <c r="B166" s="102">
        <v>44214</v>
      </c>
      <c r="J166" s="102">
        <v>45742</v>
      </c>
    </row>
    <row r="167" spans="1:14" ht="31.5" customHeight="1" x14ac:dyDescent="0.25">
      <c r="B167" s="105">
        <v>44214</v>
      </c>
      <c r="J167" s="105">
        <v>45742</v>
      </c>
    </row>
    <row r="168" spans="1:14" ht="31.5" customHeight="1" x14ac:dyDescent="0.25">
      <c r="B168" s="102">
        <v>45742</v>
      </c>
      <c r="J168" s="102">
        <v>45742</v>
      </c>
    </row>
    <row r="169" spans="1:14" ht="31.5" customHeight="1" x14ac:dyDescent="0.25">
      <c r="B169" s="105">
        <v>45742</v>
      </c>
      <c r="J169" s="105">
        <v>45742</v>
      </c>
    </row>
    <row r="170" spans="1:14" ht="31.5" customHeight="1" x14ac:dyDescent="0.25">
      <c r="B170" s="102">
        <v>45742</v>
      </c>
      <c r="J170" s="102">
        <v>45742</v>
      </c>
    </row>
    <row r="171" spans="1:14" ht="31.5" customHeight="1" x14ac:dyDescent="0.25">
      <c r="B171" s="105">
        <v>45742</v>
      </c>
      <c r="J171" s="105">
        <v>45742</v>
      </c>
    </row>
    <row r="172" spans="1:14" ht="31.5" customHeight="1" x14ac:dyDescent="0.25">
      <c r="B172" s="102">
        <v>45742</v>
      </c>
      <c r="J172" s="102">
        <v>45742</v>
      </c>
    </row>
    <row r="173" spans="1:14" ht="31.5" customHeight="1" x14ac:dyDescent="0.25">
      <c r="B173" s="105">
        <v>45742</v>
      </c>
      <c r="J173" s="105">
        <v>45742</v>
      </c>
    </row>
    <row r="174" spans="1:14" ht="31.5" customHeight="1" x14ac:dyDescent="0.25">
      <c r="B174" s="102">
        <v>45742</v>
      </c>
      <c r="J174" s="102">
        <v>45742</v>
      </c>
    </row>
    <row r="175" spans="1:14" ht="31.5" customHeight="1" x14ac:dyDescent="0.25">
      <c r="B175" s="105">
        <v>45742</v>
      </c>
      <c r="J175" s="105">
        <v>45742</v>
      </c>
    </row>
    <row r="176" spans="1:14" ht="31.5" customHeight="1" x14ac:dyDescent="0.25">
      <c r="B176" s="102">
        <v>45742</v>
      </c>
      <c r="J176" s="102">
        <v>45742</v>
      </c>
    </row>
    <row r="177" spans="1:14" ht="31.5" customHeight="1" x14ac:dyDescent="0.25">
      <c r="B177" s="105">
        <v>44214</v>
      </c>
      <c r="J177" s="105">
        <v>44214</v>
      </c>
    </row>
    <row r="178" spans="1:14" ht="31.5" customHeight="1" x14ac:dyDescent="0.25">
      <c r="B178" s="102">
        <v>44214</v>
      </c>
      <c r="J178" s="102">
        <v>44214</v>
      </c>
    </row>
    <row r="179" spans="1:14" ht="31.5" customHeight="1" x14ac:dyDescent="0.25">
      <c r="B179" s="105">
        <v>44214</v>
      </c>
      <c r="J179" s="105">
        <v>44214</v>
      </c>
    </row>
    <row r="180" spans="1:14" ht="31.5" customHeight="1" x14ac:dyDescent="0.25">
      <c r="B180" s="102">
        <v>46154</v>
      </c>
      <c r="J180" s="102">
        <v>46154</v>
      </c>
    </row>
    <row r="181" spans="1:14" ht="31.5" customHeight="1" x14ac:dyDescent="0.25">
      <c r="B181" s="105">
        <v>46154</v>
      </c>
      <c r="J181" s="105">
        <v>46154</v>
      </c>
    </row>
    <row r="182" spans="1:14" ht="31.5" customHeight="1" x14ac:dyDescent="0.25">
      <c r="B182" s="102">
        <v>46154</v>
      </c>
      <c r="J182" s="102">
        <v>46154</v>
      </c>
    </row>
    <row r="183" spans="1:14" ht="31.5" customHeight="1" x14ac:dyDescent="0.25">
      <c r="B183" s="105">
        <v>46154</v>
      </c>
      <c r="J183" s="105">
        <v>46154</v>
      </c>
    </row>
    <row r="184" spans="1:14" ht="31.5" customHeight="1" x14ac:dyDescent="0.25">
      <c r="B184" s="102">
        <v>46154</v>
      </c>
      <c r="J184" s="102">
        <v>46154</v>
      </c>
    </row>
    <row r="185" spans="1:14" ht="31.5" customHeight="1" x14ac:dyDescent="0.25">
      <c r="B185" s="105">
        <v>46154</v>
      </c>
      <c r="J185" s="105">
        <v>46154</v>
      </c>
    </row>
    <row r="186" spans="1:14" ht="31.5" customHeight="1" x14ac:dyDescent="0.25">
      <c r="B186" s="102">
        <v>45814</v>
      </c>
      <c r="J186" s="102">
        <v>45814</v>
      </c>
    </row>
    <row r="187" spans="1:14" ht="31.5" customHeight="1" x14ac:dyDescent="0.25">
      <c r="B187" s="105">
        <v>45814</v>
      </c>
      <c r="J187" s="105">
        <v>45814</v>
      </c>
    </row>
    <row r="188" spans="1:14" ht="31.5" customHeight="1" x14ac:dyDescent="0.25">
      <c r="B188" s="102">
        <v>45814</v>
      </c>
      <c r="J188" s="102">
        <v>45814</v>
      </c>
      <c r="M188" s="102">
        <v>46213</v>
      </c>
    </row>
    <row r="189" spans="1:14" ht="31.5" customHeight="1" x14ac:dyDescent="0.25">
      <c r="B189" s="105">
        <v>45814</v>
      </c>
      <c r="J189" s="105">
        <v>45814</v>
      </c>
    </row>
    <row r="190" spans="1:14" ht="31.5" customHeight="1" x14ac:dyDescent="0.25">
      <c r="B190" s="102">
        <v>45814</v>
      </c>
      <c r="J190" s="102">
        <v>45814</v>
      </c>
    </row>
    <row r="191" spans="1:14" ht="31.5" customHeight="1" x14ac:dyDescent="0.25">
      <c r="B191" s="105">
        <v>45814</v>
      </c>
      <c r="J191" s="105">
        <v>45814</v>
      </c>
    </row>
    <row r="192" spans="1:14" ht="31.5" customHeight="1" x14ac:dyDescent="0.25">
      <c r="B192" s="102">
        <v>45814</v>
      </c>
      <c r="J192" s="102">
        <v>45814</v>
      </c>
    </row>
    <row r="193" spans="1:14" ht="31.5" customHeight="1" x14ac:dyDescent="0.25">
      <c r="B193" s="105">
        <v>45814</v>
      </c>
      <c r="J193" s="105">
        <v>45814</v>
      </c>
    </row>
    <row r="194" spans="1:14" ht="31.5" customHeight="1" x14ac:dyDescent="0.25">
      <c r="B194" s="102">
        <v>45814</v>
      </c>
      <c r="J194" s="102">
        <v>45814</v>
      </c>
    </row>
    <row r="195" spans="1:14" ht="31.5" customHeight="1" x14ac:dyDescent="0.25">
      <c r="B195" s="105">
        <v>45814</v>
      </c>
      <c r="J195" s="105">
        <v>45814</v>
      </c>
    </row>
    <row r="196" spans="1:14" ht="31.5" customHeight="1" x14ac:dyDescent="0.25">
      <c r="B196" s="102">
        <v>45814</v>
      </c>
      <c r="J196" s="102">
        <v>45814</v>
      </c>
    </row>
    <row r="197" spans="1:14" ht="31.5" customHeight="1" x14ac:dyDescent="0.25">
      <c r="B197" s="105">
        <v>45814</v>
      </c>
      <c r="J197" s="105">
        <v>45814</v>
      </c>
    </row>
    <row r="198" spans="1:14" ht="31.5" customHeight="1" x14ac:dyDescent="0.25">
      <c r="B198" s="102">
        <v>45814</v>
      </c>
      <c r="J198" s="102">
        <v>45814</v>
      </c>
    </row>
    <row r="199" spans="1:14" ht="31.5" customHeight="1" x14ac:dyDescent="0.25">
      <c r="B199" s="105">
        <v>45814</v>
      </c>
      <c r="J199" s="105">
        <v>45814</v>
      </c>
    </row>
    <row r="200" spans="1:14" ht="31.5" customHeight="1" x14ac:dyDescent="0.25">
      <c r="B200" s="102">
        <v>45814</v>
      </c>
      <c r="J200" s="102">
        <v>45814</v>
      </c>
    </row>
    <row r="201" spans="1:14" ht="31.5" customHeight="1" x14ac:dyDescent="0.25">
      <c r="B201" s="105">
        <v>45814</v>
      </c>
      <c r="J201" s="105">
        <v>45814</v>
      </c>
    </row>
    <row r="202" spans="1:14" ht="31.5" customHeight="1" x14ac:dyDescent="0.25">
      <c r="B202" s="102">
        <v>45814</v>
      </c>
      <c r="J202" s="102">
        <v>45814</v>
      </c>
    </row>
    <row r="203" spans="1:14" ht="31.5" customHeight="1" x14ac:dyDescent="0.25">
      <c r="B203" s="105">
        <v>45814</v>
      </c>
      <c r="J203" s="105">
        <v>45814</v>
      </c>
    </row>
    <row r="204" spans="1:14" ht="31.5" customHeight="1" x14ac:dyDescent="0.25">
      <c r="B204" s="102">
        <v>45814</v>
      </c>
      <c r="J204" s="102">
        <v>45814</v>
      </c>
    </row>
    <row r="205" spans="1:14" ht="31.5" customHeight="1" x14ac:dyDescent="0.25">
      <c r="B205" s="105">
        <v>45814</v>
      </c>
      <c r="J205" s="105">
        <v>45814</v>
      </c>
    </row>
    <row r="206" spans="1:14" ht="31.5" customHeight="1" x14ac:dyDescent="0.25">
      <c r="B206" s="102">
        <v>45814</v>
      </c>
      <c r="J206" s="102">
        <v>45814</v>
      </c>
    </row>
    <row r="207" spans="1:14" ht="31.5" customHeight="1" x14ac:dyDescent="0.25">
      <c r="B207" s="105">
        <v>45814</v>
      </c>
      <c r="J207" s="105">
        <v>45814</v>
      </c>
    </row>
    <row r="208" spans="1:14" ht="31.5" customHeight="1" x14ac:dyDescent="0.25">
      <c r="B208" s="102">
        <v>45814</v>
      </c>
      <c r="J208" s="102">
        <v>45814</v>
      </c>
    </row>
    <row r="209" spans="1:14" ht="31.5" customHeight="1" x14ac:dyDescent="0.25">
      <c r="B209" s="105">
        <v>45814</v>
      </c>
      <c r="J209" s="105">
        <v>45814</v>
      </c>
    </row>
    <row r="210" spans="1:14" ht="31.5" customHeight="1" x14ac:dyDescent="0.25">
      <c r="B210" s="102">
        <v>45814</v>
      </c>
      <c r="J210" s="102">
        <v>45814</v>
      </c>
    </row>
    <row r="211" spans="1:14" ht="31.5" customHeight="1" x14ac:dyDescent="0.25">
      <c r="B211" s="105">
        <v>45814</v>
      </c>
      <c r="J211" s="105">
        <v>45814</v>
      </c>
    </row>
    <row r="212" spans="1:14" ht="31.5" customHeight="1" x14ac:dyDescent="0.25">
      <c r="B212" s="102">
        <v>45814</v>
      </c>
      <c r="J212" s="102">
        <v>45814</v>
      </c>
    </row>
    <row r="213" spans="1:14" ht="31.5" customHeight="1" x14ac:dyDescent="0.25">
      <c r="B213" s="105">
        <v>45814</v>
      </c>
      <c r="J213" s="105">
        <v>45814</v>
      </c>
    </row>
    <row r="214" spans="1:14" ht="31.5" customHeight="1" x14ac:dyDescent="0.25">
      <c r="B214" s="102">
        <v>45814</v>
      </c>
      <c r="J214" s="102">
        <v>45814</v>
      </c>
    </row>
    <row r="215" spans="1:14" ht="31.5" customHeight="1" x14ac:dyDescent="0.25">
      <c r="B215" s="105">
        <v>45814</v>
      </c>
      <c r="J215" s="105">
        <v>45814</v>
      </c>
    </row>
    <row r="216" spans="1:14" ht="31.5" customHeight="1" x14ac:dyDescent="0.25">
      <c r="B216" s="102">
        <v>45814</v>
      </c>
      <c r="J216" s="102">
        <v>45814</v>
      </c>
    </row>
    <row r="217" spans="1:14" ht="31.5" customHeight="1" x14ac:dyDescent="0.25">
      <c r="B217" s="105">
        <v>45814</v>
      </c>
      <c r="J217" s="105">
        <v>45814</v>
      </c>
    </row>
    <row r="218" spans="1:14" ht="31.5" customHeight="1" x14ac:dyDescent="0.25">
      <c r="B218" s="102">
        <v>45814</v>
      </c>
      <c r="J218" s="102">
        <v>45814</v>
      </c>
    </row>
    <row r="219" spans="1:14" ht="31.5" customHeight="1" x14ac:dyDescent="0.25">
      <c r="B219" s="105">
        <v>45814</v>
      </c>
      <c r="J219" s="105">
        <v>45814</v>
      </c>
    </row>
    <row r="220" spans="1:14" ht="31.5" customHeight="1" x14ac:dyDescent="0.25">
      <c r="B220" s="102">
        <v>45814</v>
      </c>
      <c r="J220" s="102">
        <v>45814</v>
      </c>
    </row>
    <row r="221" spans="1:14" ht="31.5" customHeight="1" x14ac:dyDescent="0.25">
      <c r="B221" s="105">
        <v>45814</v>
      </c>
      <c r="J221" s="105">
        <v>45814</v>
      </c>
    </row>
    <row r="222" spans="1:14" ht="31.5" customHeight="1" x14ac:dyDescent="0.25">
      <c r="B222" s="102">
        <v>45814</v>
      </c>
      <c r="J222" s="102">
        <v>45814</v>
      </c>
    </row>
    <row r="223" spans="1:14" ht="31.5" customHeight="1" x14ac:dyDescent="0.25">
      <c r="B223" s="105">
        <v>45814</v>
      </c>
      <c r="J223" s="105">
        <v>45814</v>
      </c>
    </row>
    <row r="224" spans="1:14" ht="31.5" customHeight="1" x14ac:dyDescent="0.25">
      <c r="B224" s="102">
        <v>45814</v>
      </c>
      <c r="J224" s="102">
        <v>45814</v>
      </c>
    </row>
    <row r="225" spans="1:14" ht="31.5" customHeight="1" x14ac:dyDescent="0.25">
      <c r="B225" s="105">
        <v>45814</v>
      </c>
      <c r="J225" s="105">
        <v>45814</v>
      </c>
    </row>
    <row r="226" spans="1:14" ht="31.5" customHeight="1" x14ac:dyDescent="0.25">
      <c r="B226" s="102">
        <v>45814</v>
      </c>
      <c r="J226" s="102">
        <v>45814</v>
      </c>
    </row>
    <row r="227" spans="1:14" ht="31.5" customHeight="1" x14ac:dyDescent="0.25">
      <c r="B227" s="105">
        <v>45814</v>
      </c>
      <c r="J227" s="105">
        <v>45814</v>
      </c>
    </row>
    <row r="228" spans="1:14" ht="31.5" customHeight="1" x14ac:dyDescent="0.25">
      <c r="B228" s="102">
        <v>45814</v>
      </c>
      <c r="J228" s="102">
        <v>45814</v>
      </c>
    </row>
    <row r="229" spans="1:14" ht="31.5" customHeight="1" x14ac:dyDescent="0.25">
      <c r="B229" s="105">
        <v>45814</v>
      </c>
      <c r="J229" s="105">
        <v>45814</v>
      </c>
    </row>
    <row r="230" spans="1:14" ht="31.5" customHeight="1" x14ac:dyDescent="0.25">
      <c r="B230" s="102">
        <v>45814</v>
      </c>
      <c r="J230" s="102">
        <v>45814</v>
      </c>
    </row>
    <row r="231" spans="1:14" ht="31.5" customHeight="1" x14ac:dyDescent="0.25">
      <c r="B231" s="105">
        <v>45814</v>
      </c>
      <c r="J231" s="105">
        <v>45814</v>
      </c>
    </row>
    <row r="232" spans="1:14" ht="31.5" customHeight="1" x14ac:dyDescent="0.25">
      <c r="B232" s="102">
        <v>45814</v>
      </c>
      <c r="J232" s="102">
        <v>45814</v>
      </c>
    </row>
    <row r="233" spans="1:14" ht="31.5" customHeight="1" x14ac:dyDescent="0.25">
      <c r="B233" s="105">
        <v>45814</v>
      </c>
      <c r="J233" s="105">
        <v>45814</v>
      </c>
    </row>
    <row r="234" spans="1:14" ht="31.5" customHeight="1" x14ac:dyDescent="0.25">
      <c r="B234" s="102">
        <v>45814</v>
      </c>
      <c r="J234" s="102">
        <v>45814</v>
      </c>
    </row>
    <row r="235" spans="1:14" ht="31.5" customHeight="1" x14ac:dyDescent="0.25">
      <c r="B235" s="105">
        <v>45814</v>
      </c>
      <c r="J235" s="105">
        <v>45814</v>
      </c>
    </row>
    <row r="236" spans="1:14" ht="31.5" customHeight="1" x14ac:dyDescent="0.25">
      <c r="B236" s="102">
        <v>45814</v>
      </c>
      <c r="J236" s="102">
        <v>45814</v>
      </c>
    </row>
    <row r="237" spans="1:14" ht="31.5" customHeight="1" x14ac:dyDescent="0.25">
      <c r="B237" s="105">
        <v>45814</v>
      </c>
      <c r="J237" s="105">
        <v>45814</v>
      </c>
    </row>
    <row r="238" spans="1:14" ht="31.5" customHeight="1" x14ac:dyDescent="0.25">
      <c r="B238" s="102">
        <v>45814</v>
      </c>
      <c r="J238" s="102">
        <v>45814</v>
      </c>
    </row>
    <row r="239" spans="1:14" ht="31.5" customHeight="1" x14ac:dyDescent="0.25">
      <c r="B239" s="105">
        <v>45814</v>
      </c>
      <c r="J239" s="105">
        <v>45814</v>
      </c>
    </row>
    <row r="240" spans="1:14" ht="31.5" customHeight="1" x14ac:dyDescent="0.25">
      <c r="B240" s="102">
        <v>45814</v>
      </c>
      <c r="J240" s="102">
        <v>45814</v>
      </c>
    </row>
    <row r="241" spans="1:14" ht="31.5" customHeight="1" x14ac:dyDescent="0.25">
      <c r="B241" s="105">
        <v>45814</v>
      </c>
      <c r="J241" s="105">
        <v>45814</v>
      </c>
    </row>
    <row r="242" spans="1:14" ht="31.5" customHeight="1" x14ac:dyDescent="0.25">
      <c r="B242" s="102">
        <v>45814</v>
      </c>
      <c r="J242" s="102">
        <v>45814</v>
      </c>
    </row>
    <row r="243" spans="1:14" ht="31.5" customHeight="1" x14ac:dyDescent="0.25">
      <c r="B243" s="105">
        <v>45814</v>
      </c>
      <c r="J243" s="105">
        <v>45814</v>
      </c>
    </row>
    <row r="244" spans="1:14" ht="31.5" customHeight="1" x14ac:dyDescent="0.25">
      <c r="B244" s="102">
        <v>45814</v>
      </c>
      <c r="J244" s="102">
        <v>45814</v>
      </c>
    </row>
    <row r="245" spans="1:14" ht="31.5" customHeight="1" x14ac:dyDescent="0.25">
      <c r="B245" s="105">
        <v>45814</v>
      </c>
      <c r="J245" s="105">
        <v>45814</v>
      </c>
    </row>
    <row r="246" spans="1:14" ht="31.5" customHeight="1" x14ac:dyDescent="0.25">
      <c r="B246" s="102">
        <v>45814</v>
      </c>
      <c r="J246" s="102">
        <v>45814</v>
      </c>
    </row>
    <row r="247" spans="1:14" ht="31.5" customHeight="1" x14ac:dyDescent="0.25">
      <c r="B247" s="105">
        <v>45814</v>
      </c>
      <c r="J247" s="105">
        <v>45814</v>
      </c>
    </row>
    <row r="248" spans="1:14" ht="31.5" customHeight="1" x14ac:dyDescent="0.25">
      <c r="B248" s="102">
        <v>45814</v>
      </c>
      <c r="J248" s="102">
        <v>45814</v>
      </c>
    </row>
    <row r="249" spans="1:14" ht="31.5" customHeight="1" x14ac:dyDescent="0.25">
      <c r="B249" s="105">
        <v>45814</v>
      </c>
      <c r="J249" s="105">
        <v>45814</v>
      </c>
    </row>
    <row r="250" spans="1:14" ht="31.5" customHeight="1" x14ac:dyDescent="0.25">
      <c r="B250" s="102">
        <v>45814</v>
      </c>
      <c r="J250" s="102">
        <v>45814</v>
      </c>
    </row>
    <row r="251" spans="1:14" ht="31.5" customHeight="1" x14ac:dyDescent="0.25">
      <c r="B251" s="105">
        <v>45814</v>
      </c>
      <c r="J251" s="105">
        <v>45814</v>
      </c>
    </row>
    <row r="252" spans="1:14" ht="31.5" customHeight="1" x14ac:dyDescent="0.25">
      <c r="B252" s="102">
        <v>45814</v>
      </c>
      <c r="J252" s="102">
        <v>45814</v>
      </c>
    </row>
    <row r="253" spans="1:14" ht="31.5" customHeight="1" x14ac:dyDescent="0.25">
      <c r="B253" s="105">
        <v>45814</v>
      </c>
      <c r="J253" s="105">
        <v>45814</v>
      </c>
    </row>
    <row r="254" spans="1:14" ht="31.5" customHeight="1" x14ac:dyDescent="0.25">
      <c r="B254" s="102">
        <v>45814</v>
      </c>
      <c r="J254" s="102">
        <v>45814</v>
      </c>
    </row>
    <row r="255" spans="1:14" ht="31.5" customHeight="1" x14ac:dyDescent="0.25">
      <c r="B255" s="105">
        <v>45814</v>
      </c>
      <c r="J255" s="105">
        <v>45814</v>
      </c>
    </row>
    <row r="256" spans="1:14" ht="31.5" customHeight="1" x14ac:dyDescent="0.25">
      <c r="B256" s="102">
        <v>45814</v>
      </c>
      <c r="J256" s="102">
        <v>45814</v>
      </c>
    </row>
    <row r="257" spans="1:14" ht="31.5" customHeight="1" x14ac:dyDescent="0.25">
      <c r="B257" s="105">
        <v>45814</v>
      </c>
      <c r="J257" s="105">
        <v>45814</v>
      </c>
    </row>
    <row r="258" spans="1:14" ht="31.5" customHeight="1" x14ac:dyDescent="0.25">
      <c r="B258" s="102">
        <v>46093</v>
      </c>
      <c r="J258" s="102">
        <v>46093</v>
      </c>
    </row>
    <row r="259" spans="1:14" ht="31.5" customHeight="1" x14ac:dyDescent="0.25">
      <c r="B259" s="105">
        <v>46093</v>
      </c>
      <c r="J259" s="105">
        <v>46093</v>
      </c>
    </row>
    <row r="260" spans="1:14" ht="31.5" customHeight="1" x14ac:dyDescent="0.25">
      <c r="B260" s="102">
        <v>46093</v>
      </c>
      <c r="J260" s="102">
        <v>46093</v>
      </c>
    </row>
    <row r="261" spans="1:14" ht="31.5" customHeight="1" x14ac:dyDescent="0.25">
      <c r="B261" s="105">
        <v>46093</v>
      </c>
      <c r="J261" s="105">
        <v>46093</v>
      </c>
    </row>
    <row r="262" spans="1:14" ht="31.5" customHeight="1" x14ac:dyDescent="0.25">
      <c r="B262" s="102">
        <v>44204</v>
      </c>
      <c r="J262" s="102">
        <v>45741</v>
      </c>
    </row>
    <row r="263" spans="1:14" ht="31.5" customHeight="1" x14ac:dyDescent="0.25">
      <c r="B263" s="105">
        <v>44204</v>
      </c>
      <c r="J263" s="105">
        <v>45741</v>
      </c>
    </row>
    <row r="264" spans="1:14" ht="31.5" customHeight="1" x14ac:dyDescent="0.25">
      <c r="B264" s="102">
        <v>44204</v>
      </c>
      <c r="J264" s="102">
        <v>45741</v>
      </c>
    </row>
    <row r="265" spans="1:14" ht="31.5" customHeight="1" x14ac:dyDescent="0.25">
      <c r="B265" s="105">
        <v>44606</v>
      </c>
      <c r="J265" s="105">
        <v>45741</v>
      </c>
    </row>
    <row r="266" spans="1:14" ht="31.5" customHeight="1" x14ac:dyDescent="0.25">
      <c r="B266" s="102">
        <v>44606</v>
      </c>
      <c r="J266" s="102">
        <v>45741</v>
      </c>
    </row>
    <row r="267" spans="1:14" ht="31.5" customHeight="1" x14ac:dyDescent="0.25">
      <c r="B267" s="105">
        <v>44606</v>
      </c>
      <c r="J267" s="105">
        <v>45741</v>
      </c>
    </row>
    <row r="268" spans="1:14" ht="31.5" customHeight="1" x14ac:dyDescent="0.25">
      <c r="B268" s="102">
        <v>45741</v>
      </c>
      <c r="J268" s="102">
        <v>45741</v>
      </c>
    </row>
    <row r="269" spans="1:14" ht="31.5" customHeight="1" x14ac:dyDescent="0.25">
      <c r="B269" s="105">
        <v>45741</v>
      </c>
      <c r="J269" s="105">
        <v>45741</v>
      </c>
    </row>
    <row r="270" spans="1:14" ht="31.5" customHeight="1" x14ac:dyDescent="0.25">
      <c r="B270" s="102">
        <v>45741</v>
      </c>
      <c r="J270" s="102">
        <v>45741</v>
      </c>
    </row>
    <row r="271" spans="1:14" ht="31.5" customHeight="1" x14ac:dyDescent="0.25">
      <c r="B271" s="105">
        <v>45741</v>
      </c>
      <c r="J271" s="105">
        <v>45741</v>
      </c>
    </row>
    <row r="272" spans="1:14" ht="31.5" customHeight="1" x14ac:dyDescent="0.25">
      <c r="B272" s="102">
        <v>45741</v>
      </c>
      <c r="J272" s="102">
        <v>45741</v>
      </c>
    </row>
    <row r="273" spans="1:14" ht="31.5" customHeight="1" x14ac:dyDescent="0.25">
      <c r="B273" s="105">
        <v>45741</v>
      </c>
      <c r="J273" s="105">
        <v>45741</v>
      </c>
    </row>
    <row r="274" spans="1:14" ht="31.5" customHeight="1" x14ac:dyDescent="0.25">
      <c r="B274" s="102">
        <v>45741</v>
      </c>
      <c r="J274" s="102">
        <v>45741</v>
      </c>
    </row>
    <row r="275" spans="1:14" ht="31.5" customHeight="1" x14ac:dyDescent="0.25">
      <c r="B275" s="105">
        <v>45741</v>
      </c>
      <c r="J275" s="105">
        <v>45741</v>
      </c>
    </row>
    <row r="276" spans="1:14" ht="31.5" customHeight="1" x14ac:dyDescent="0.25">
      <c r="B276" s="102">
        <v>45741</v>
      </c>
      <c r="J276" s="102">
        <v>45741</v>
      </c>
    </row>
    <row r="277" spans="1:14" ht="31.5" customHeight="1" x14ac:dyDescent="0.25">
      <c r="B277" s="105">
        <v>45741</v>
      </c>
      <c r="J277" s="105">
        <v>45741</v>
      </c>
    </row>
    <row r="278" spans="1:14" ht="31.5" customHeight="1" x14ac:dyDescent="0.25">
      <c r="B278" s="102">
        <v>45741</v>
      </c>
      <c r="J278" s="102">
        <v>45741</v>
      </c>
    </row>
    <row r="279" spans="1:14" ht="31.5" customHeight="1" x14ac:dyDescent="0.25">
      <c r="B279" s="105">
        <v>45741</v>
      </c>
      <c r="J279" s="105">
        <v>45741</v>
      </c>
    </row>
    <row r="280" spans="1:14" ht="31.5" customHeight="1" x14ac:dyDescent="0.25">
      <c r="B280" s="102">
        <v>45386</v>
      </c>
      <c r="J280" s="102">
        <v>46111</v>
      </c>
    </row>
    <row r="281" spans="1:14" ht="31.5" customHeight="1" x14ac:dyDescent="0.25">
      <c r="B281" s="105">
        <v>45386</v>
      </c>
      <c r="J281" s="105">
        <v>46111</v>
      </c>
    </row>
    <row r="282" spans="1:14" ht="31.5" customHeight="1" x14ac:dyDescent="0.25">
      <c r="B282" s="102">
        <v>46111</v>
      </c>
      <c r="J282" s="102">
        <v>46111</v>
      </c>
    </row>
    <row r="283" spans="1:14" ht="31.5" customHeight="1" x14ac:dyDescent="0.25">
      <c r="B283" s="105">
        <v>46111</v>
      </c>
      <c r="J283" s="105">
        <v>46111</v>
      </c>
    </row>
    <row r="284" spans="1:14" ht="31.5" customHeight="1" x14ac:dyDescent="0.25">
      <c r="B284" s="102">
        <v>46111</v>
      </c>
      <c r="J284" s="102">
        <v>46111</v>
      </c>
    </row>
    <row r="285" spans="1:14" ht="31.5" customHeight="1" x14ac:dyDescent="0.25">
      <c r="B285" s="105">
        <v>46111</v>
      </c>
      <c r="J285" s="105">
        <v>46111</v>
      </c>
    </row>
    <row r="286" spans="1:14" ht="31.5" customHeight="1" x14ac:dyDescent="0.25">
      <c r="B286" s="102">
        <v>46086</v>
      </c>
      <c r="J286" s="102">
        <v>46111</v>
      </c>
    </row>
    <row r="287" spans="1:14" ht="31.5" customHeight="1" x14ac:dyDescent="0.25">
      <c r="B287" s="105">
        <v>46086</v>
      </c>
      <c r="J287" s="105">
        <v>46111</v>
      </c>
    </row>
    <row r="288" spans="1:14" ht="31.5" customHeight="1" x14ac:dyDescent="0.25">
      <c r="B288" s="102">
        <v>46111</v>
      </c>
      <c r="J288" s="102">
        <v>46111</v>
      </c>
    </row>
    <row r="289" spans="1:14" ht="31.5" customHeight="1" x14ac:dyDescent="0.25">
      <c r="B289" s="105">
        <v>46086</v>
      </c>
      <c r="J289" s="105">
        <v>46111</v>
      </c>
    </row>
    <row r="290" spans="1:14" ht="31.5" customHeight="1" x14ac:dyDescent="0.25">
      <c r="B290" s="102">
        <v>42499</v>
      </c>
      <c r="J290" s="102">
        <v>44685</v>
      </c>
      <c r="M290" s="102">
        <v>45271</v>
      </c>
    </row>
    <row r="291" spans="1:14" ht="31.5" customHeight="1" x14ac:dyDescent="0.25">
      <c r="B291" s="105">
        <v>45070</v>
      </c>
      <c r="J291" s="105">
        <v>45498</v>
      </c>
      <c r="M291" s="105">
        <v>45110</v>
      </c>
    </row>
    <row r="292" spans="1:14" ht="31.5" customHeight="1" x14ac:dyDescent="0.25">
      <c r="B292" s="102">
        <v>45498</v>
      </c>
      <c r="J292" s="102">
        <v>45498</v>
      </c>
      <c r="M292" s="102">
        <v>45552</v>
      </c>
    </row>
    <row r="293" spans="1:14" ht="31.5" customHeight="1" x14ac:dyDescent="0.25">
      <c r="B293" s="105">
        <v>45498</v>
      </c>
      <c r="J293" s="105">
        <v>45498</v>
      </c>
    </row>
    <row r="294" spans="1:14" ht="31.5" customHeight="1" x14ac:dyDescent="0.25">
      <c r="B294" s="102">
        <v>45498</v>
      </c>
      <c r="J294" s="102">
        <v>45498</v>
      </c>
      <c r="M294" s="102">
        <v>45534</v>
      </c>
    </row>
    <row r="295" spans="1:14" ht="31.5" customHeight="1" x14ac:dyDescent="0.25">
      <c r="B295" s="105">
        <v>45498</v>
      </c>
      <c r="J295" s="105">
        <v>45498</v>
      </c>
      <c r="M295" s="105">
        <v>45534</v>
      </c>
    </row>
    <row r="296" spans="1:14" ht="31.5" customHeight="1" x14ac:dyDescent="0.25">
      <c r="B296" s="102">
        <v>45498</v>
      </c>
      <c r="J296" s="102">
        <v>45498</v>
      </c>
      <c r="M296" s="102">
        <v>45534</v>
      </c>
    </row>
    <row r="297" spans="1:14" ht="31.5" customHeight="1" x14ac:dyDescent="0.25">
      <c r="B297" s="105">
        <v>45498</v>
      </c>
      <c r="J297" s="105">
        <v>45498</v>
      </c>
    </row>
    <row r="298" spans="1:14" ht="31.5" customHeight="1" x14ac:dyDescent="0.25">
      <c r="B298" s="102">
        <v>45498</v>
      </c>
      <c r="J298" s="102">
        <v>45498</v>
      </c>
    </row>
    <row r="299" spans="1:14" ht="31.5" customHeight="1" x14ac:dyDescent="0.25">
      <c r="B299" s="105">
        <v>45498</v>
      </c>
      <c r="J299" s="105">
        <v>45498</v>
      </c>
    </row>
    <row r="300" spans="1:14" ht="31.5" customHeight="1" x14ac:dyDescent="0.25">
      <c r="B300" s="102">
        <v>43528</v>
      </c>
      <c r="J300" s="102">
        <v>44685</v>
      </c>
      <c r="M300" s="102">
        <v>45271</v>
      </c>
    </row>
    <row r="301" spans="1:14" ht="31.5" customHeight="1" x14ac:dyDescent="0.25">
      <c r="B301" s="105">
        <v>43528</v>
      </c>
      <c r="J301" s="105">
        <v>44685</v>
      </c>
      <c r="M301" s="105">
        <v>45534</v>
      </c>
    </row>
    <row r="302" spans="1:14" ht="31.5" customHeight="1" x14ac:dyDescent="0.25">
      <c r="B302" s="102">
        <v>43188</v>
      </c>
      <c r="J302" s="102">
        <v>44685</v>
      </c>
      <c r="M302" s="102">
        <v>45534</v>
      </c>
    </row>
    <row r="303" spans="1:14" ht="31.5" customHeight="1" x14ac:dyDescent="0.25">
      <c r="B303" s="105">
        <v>44685</v>
      </c>
      <c r="J303" s="105">
        <v>44685</v>
      </c>
    </row>
    <row r="304" spans="1:14" ht="31.5" customHeight="1" x14ac:dyDescent="0.25">
      <c r="B304" s="102">
        <v>44685</v>
      </c>
      <c r="J304" s="102">
        <v>44685</v>
      </c>
    </row>
    <row r="305" spans="1:14" ht="31.5" customHeight="1" x14ac:dyDescent="0.25">
      <c r="B305" s="105">
        <v>44685</v>
      </c>
      <c r="J305" s="105">
        <v>45498</v>
      </c>
      <c r="M305" s="105">
        <v>45534</v>
      </c>
    </row>
    <row r="306" spans="1:14" ht="31.5" customHeight="1" x14ac:dyDescent="0.25">
      <c r="B306" s="102">
        <v>43980</v>
      </c>
      <c r="J306" s="102">
        <v>44685</v>
      </c>
      <c r="M306" s="102">
        <v>45271</v>
      </c>
    </row>
    <row r="307" spans="1:14" ht="31.5" customHeight="1" x14ac:dyDescent="0.25">
      <c r="B307" s="105">
        <v>43980</v>
      </c>
      <c r="J307" s="105">
        <v>44685</v>
      </c>
    </row>
    <row r="308" spans="1:14" ht="31.5" customHeight="1" x14ac:dyDescent="0.25">
      <c r="B308" s="102">
        <v>43980</v>
      </c>
      <c r="J308" s="102">
        <v>44685</v>
      </c>
      <c r="M308" s="102">
        <v>45110</v>
      </c>
    </row>
    <row r="309" spans="1:14" ht="31.5" customHeight="1" x14ac:dyDescent="0.25">
      <c r="B309" s="105">
        <v>44375</v>
      </c>
      <c r="J309" s="105">
        <v>44375</v>
      </c>
    </row>
    <row r="310" spans="1:14" ht="31.5" customHeight="1" x14ac:dyDescent="0.25">
      <c r="B310" s="102">
        <v>44375</v>
      </c>
      <c r="J310" s="102">
        <v>44375</v>
      </c>
    </row>
    <row r="311" spans="1:14" ht="31.5" customHeight="1" x14ac:dyDescent="0.25">
      <c r="B311" s="105">
        <v>44375</v>
      </c>
      <c r="J311" s="105">
        <v>44375</v>
      </c>
    </row>
    <row r="312" spans="1:14" ht="31.5" customHeight="1" x14ac:dyDescent="0.25">
      <c r="B312" s="102">
        <v>44375</v>
      </c>
      <c r="J312" s="102">
        <v>44375</v>
      </c>
    </row>
    <row r="313" spans="1:14" ht="31.5" customHeight="1" x14ac:dyDescent="0.25">
      <c r="B313" s="105">
        <v>44375</v>
      </c>
      <c r="J313" s="105">
        <v>44375</v>
      </c>
    </row>
    <row r="314" spans="1:14" ht="31.5" customHeight="1" x14ac:dyDescent="0.25">
      <c r="B314" s="102">
        <v>44375</v>
      </c>
      <c r="J314" s="102">
        <v>44375</v>
      </c>
    </row>
    <row r="315" spans="1:14" ht="31.5" customHeight="1" x14ac:dyDescent="0.25">
      <c r="B315" s="105">
        <v>44375</v>
      </c>
      <c r="J315" s="105">
        <v>44375</v>
      </c>
    </row>
    <row r="316" spans="1:14" ht="31.5" customHeight="1" x14ac:dyDescent="0.25">
      <c r="B316" s="102">
        <v>44375</v>
      </c>
      <c r="J316" s="102">
        <v>44375</v>
      </c>
      <c r="M316" s="102">
        <v>44649</v>
      </c>
    </row>
    <row r="317" spans="1:14" ht="31.5" customHeight="1" x14ac:dyDescent="0.25">
      <c r="B317" s="105">
        <v>44375</v>
      </c>
      <c r="J317" s="105">
        <v>44375</v>
      </c>
      <c r="M317" s="105">
        <v>44649</v>
      </c>
    </row>
    <row r="318" spans="1:14" ht="31.5" customHeight="1" x14ac:dyDescent="0.25">
      <c r="B318" s="102">
        <v>44375</v>
      </c>
      <c r="J318" s="102">
        <v>44375</v>
      </c>
      <c r="M318" s="102">
        <v>44649</v>
      </c>
    </row>
    <row r="319" spans="1:14" ht="31.5" customHeight="1" x14ac:dyDescent="0.25">
      <c r="B319" s="105">
        <v>44375</v>
      </c>
      <c r="J319" s="105">
        <v>44375</v>
      </c>
      <c r="M319" s="105">
        <v>44649</v>
      </c>
    </row>
    <row r="320" spans="1:14" ht="31.5" customHeight="1" x14ac:dyDescent="0.25">
      <c r="B320" s="102">
        <v>44375</v>
      </c>
      <c r="J320" s="102">
        <v>44375</v>
      </c>
      <c r="M320" s="102">
        <v>44649</v>
      </c>
    </row>
    <row r="321" spans="1:14" ht="31.5" customHeight="1" x14ac:dyDescent="0.25">
      <c r="B321" s="105">
        <v>44375</v>
      </c>
      <c r="J321" s="105">
        <v>44375</v>
      </c>
      <c r="M321" s="105">
        <v>44649</v>
      </c>
    </row>
    <row r="322" spans="1:14" ht="31.5" customHeight="1" x14ac:dyDescent="0.25">
      <c r="B322" s="102">
        <v>44375</v>
      </c>
      <c r="J322" s="102">
        <v>44375</v>
      </c>
      <c r="M322" s="102">
        <v>44649</v>
      </c>
    </row>
    <row r="323" spans="1:14" ht="31.5" customHeight="1" x14ac:dyDescent="0.25">
      <c r="B323" s="105">
        <v>44375</v>
      </c>
      <c r="J323" s="105">
        <v>44375</v>
      </c>
    </row>
    <row r="324" spans="1:14" ht="31.5" customHeight="1" x14ac:dyDescent="0.25">
      <c r="B324" s="102">
        <v>44375</v>
      </c>
      <c r="J324" s="102">
        <v>44375</v>
      </c>
    </row>
    <row r="325" spans="1:14" ht="31.5" customHeight="1" x14ac:dyDescent="0.25">
      <c r="B325" s="105">
        <v>44375</v>
      </c>
      <c r="J325" s="105">
        <v>44375</v>
      </c>
    </row>
    <row r="326" spans="1:14" ht="31.5" customHeight="1" x14ac:dyDescent="0.25">
      <c r="B326" s="102">
        <v>44375</v>
      </c>
      <c r="J326" s="102">
        <v>44375</v>
      </c>
    </row>
    <row r="327" spans="1:14" ht="31.5" customHeight="1" x14ac:dyDescent="0.25">
      <c r="B327" s="105">
        <v>44375</v>
      </c>
      <c r="J327" s="105">
        <v>44375</v>
      </c>
    </row>
    <row r="328" spans="1:14" ht="31.5" customHeight="1" x14ac:dyDescent="0.25">
      <c r="B328" s="102">
        <v>44375</v>
      </c>
      <c r="J328" s="102">
        <v>44375</v>
      </c>
    </row>
    <row r="329" spans="1:14" ht="31.5" customHeight="1" x14ac:dyDescent="0.25">
      <c r="B329" s="105">
        <v>44375</v>
      </c>
      <c r="J329" s="105">
        <v>44375</v>
      </c>
    </row>
    <row r="330" spans="1:14" ht="31.5" customHeight="1" x14ac:dyDescent="0.25">
      <c r="B330" s="102">
        <v>44375</v>
      </c>
      <c r="J330" s="102">
        <v>44375</v>
      </c>
    </row>
    <row r="331" spans="1:14" ht="31.5" customHeight="1" x14ac:dyDescent="0.25">
      <c r="B331" s="105">
        <v>44375</v>
      </c>
      <c r="J331" s="105">
        <v>44375</v>
      </c>
    </row>
    <row r="332" spans="1:14" ht="31.5" customHeight="1" x14ac:dyDescent="0.25">
      <c r="B332" s="102">
        <v>44375</v>
      </c>
      <c r="J332" s="102">
        <v>44375</v>
      </c>
      <c r="M332" s="102">
        <v>44649</v>
      </c>
    </row>
    <row r="333" spans="1:14" ht="31.5" customHeight="1" x14ac:dyDescent="0.25">
      <c r="B333" s="105">
        <v>44375</v>
      </c>
      <c r="J333" s="105">
        <v>44375</v>
      </c>
      <c r="M333" s="105">
        <v>44649</v>
      </c>
    </row>
    <row r="334" spans="1:14" ht="31.5" customHeight="1" x14ac:dyDescent="0.25">
      <c r="B334" s="102">
        <v>44375</v>
      </c>
      <c r="J334" s="102">
        <v>44375</v>
      </c>
      <c r="M334" s="102">
        <v>44649</v>
      </c>
    </row>
    <row r="335" spans="1:14" ht="31.5" customHeight="1" x14ac:dyDescent="0.25">
      <c r="B335" s="105">
        <v>44375</v>
      </c>
      <c r="J335" s="105">
        <v>44375</v>
      </c>
    </row>
    <row r="336" spans="1:14" ht="31.5" customHeight="1" x14ac:dyDescent="0.25">
      <c r="B336" s="102">
        <v>44375</v>
      </c>
      <c r="J336" s="102">
        <v>44375</v>
      </c>
    </row>
    <row r="337" spans="1:14" ht="31.5" customHeight="1" x14ac:dyDescent="0.25">
      <c r="B337" s="105">
        <v>44081</v>
      </c>
      <c r="J337" s="105">
        <v>44375</v>
      </c>
    </row>
    <row r="338" spans="1:14" ht="31.5" customHeight="1" x14ac:dyDescent="0.25">
      <c r="B338" s="102">
        <v>43717</v>
      </c>
      <c r="J338" s="102">
        <v>44375</v>
      </c>
    </row>
    <row r="339" spans="1:14" ht="31.5" customHeight="1" x14ac:dyDescent="0.25">
      <c r="B339" s="105">
        <v>43969</v>
      </c>
      <c r="J339" s="105">
        <v>44375</v>
      </c>
    </row>
    <row r="340" spans="1:14" ht="31.5" customHeight="1" x14ac:dyDescent="0.25">
      <c r="B340" s="102">
        <v>44399</v>
      </c>
      <c r="J340" s="102">
        <v>44399</v>
      </c>
    </row>
    <row r="341" spans="1:14" ht="31.5" customHeight="1" x14ac:dyDescent="0.25">
      <c r="B341" s="105">
        <v>44399</v>
      </c>
      <c r="J341" s="105">
        <v>44399</v>
      </c>
    </row>
    <row r="342" spans="1:14" ht="31.5" customHeight="1" x14ac:dyDescent="0.25">
      <c r="B342" s="102">
        <v>44399</v>
      </c>
      <c r="J342" s="102">
        <v>44399</v>
      </c>
    </row>
    <row r="343" spans="1:14" ht="31.5" customHeight="1" x14ac:dyDescent="0.25">
      <c r="B343" s="105">
        <v>44399</v>
      </c>
      <c r="J343" s="105">
        <v>44399</v>
      </c>
    </row>
    <row r="344" spans="1:14" ht="31.5" customHeight="1" x14ac:dyDescent="0.25">
      <c r="B344" s="102">
        <v>44399</v>
      </c>
      <c r="J344" s="102">
        <v>44399</v>
      </c>
    </row>
    <row r="345" spans="1:14" ht="31.5" customHeight="1" x14ac:dyDescent="0.25">
      <c r="B345" s="105">
        <v>44399</v>
      </c>
      <c r="J345" s="105">
        <v>44399</v>
      </c>
    </row>
    <row r="346" spans="1:14" ht="31.5" customHeight="1" x14ac:dyDescent="0.25">
      <c r="B346" s="102">
        <v>44399</v>
      </c>
      <c r="J346" s="102">
        <v>44399</v>
      </c>
    </row>
    <row r="347" spans="1:14" ht="31.5" customHeight="1" x14ac:dyDescent="0.25">
      <c r="B347" s="105">
        <v>44399</v>
      </c>
      <c r="J347" s="105">
        <v>44399</v>
      </c>
    </row>
    <row r="348" spans="1:14" ht="31.5" customHeight="1" x14ac:dyDescent="0.25">
      <c r="B348" s="102">
        <v>44399</v>
      </c>
      <c r="J348" s="102">
        <v>44399</v>
      </c>
    </row>
    <row r="349" spans="1:14" ht="31.5" customHeight="1" x14ac:dyDescent="0.25">
      <c r="B349" s="105">
        <v>44399</v>
      </c>
      <c r="J349" s="105">
        <v>44399</v>
      </c>
    </row>
    <row r="350" spans="1:14" ht="31.5" customHeight="1" x14ac:dyDescent="0.25">
      <c r="B350" s="102">
        <v>44399</v>
      </c>
      <c r="J350" s="102">
        <v>44399</v>
      </c>
    </row>
    <row r="351" spans="1:14" ht="31.5" customHeight="1" x14ac:dyDescent="0.25">
      <c r="B351" s="105">
        <v>44399</v>
      </c>
      <c r="J351" s="105">
        <v>44399</v>
      </c>
    </row>
    <row r="352" spans="1:14" ht="31.5" customHeight="1" x14ac:dyDescent="0.25">
      <c r="B352" s="102">
        <v>44399</v>
      </c>
      <c r="J352" s="102">
        <v>44399</v>
      </c>
    </row>
    <row r="353" spans="1:14" ht="31.5" customHeight="1" x14ac:dyDescent="0.25">
      <c r="B353" s="105">
        <v>45757</v>
      </c>
      <c r="J353" s="105">
        <v>45757</v>
      </c>
    </row>
    <row r="354" spans="1:14" ht="31.5" customHeight="1" x14ac:dyDescent="0.25">
      <c r="B354" s="102">
        <v>45757</v>
      </c>
      <c r="J354" s="102">
        <v>45757</v>
      </c>
    </row>
    <row r="355" spans="1:14" ht="31.5" customHeight="1" x14ac:dyDescent="0.25">
      <c r="B355" s="105">
        <v>45757</v>
      </c>
      <c r="J355" s="105">
        <v>45757</v>
      </c>
    </row>
    <row r="356" spans="1:14" ht="31.5" customHeight="1" x14ac:dyDescent="0.25">
      <c r="B356" s="102">
        <v>45757</v>
      </c>
      <c r="J356" s="102">
        <v>45757</v>
      </c>
    </row>
    <row r="357" spans="1:14" ht="31.5" customHeight="1" x14ac:dyDescent="0.25">
      <c r="B357" s="105">
        <v>45757</v>
      </c>
      <c r="J357" s="105">
        <v>45757</v>
      </c>
    </row>
    <row r="358" spans="1:14" ht="31.5" customHeight="1" x14ac:dyDescent="0.25">
      <c r="B358" s="102">
        <v>45757</v>
      </c>
      <c r="J358" s="102">
        <v>45757</v>
      </c>
    </row>
    <row r="359" spans="1:14" ht="31.5" customHeight="1" x14ac:dyDescent="0.25">
      <c r="B359" s="105">
        <v>45757</v>
      </c>
      <c r="J359" s="105">
        <v>45757</v>
      </c>
    </row>
    <row r="360" spans="1:14" ht="31.5" customHeight="1" x14ac:dyDescent="0.25">
      <c r="B360" s="102">
        <v>45757</v>
      </c>
      <c r="J360" s="102">
        <v>45757</v>
      </c>
    </row>
    <row r="361" spans="1:14" ht="31.5" customHeight="1" x14ac:dyDescent="0.25">
      <c r="B361" s="105">
        <v>45757</v>
      </c>
      <c r="J361" s="105">
        <v>45757</v>
      </c>
    </row>
    <row r="362" spans="1:14" ht="31.5" customHeight="1" x14ac:dyDescent="0.25">
      <c r="B362" s="102">
        <v>45757</v>
      </c>
      <c r="J362" s="102">
        <v>45757</v>
      </c>
    </row>
    <row r="363" spans="1:14" ht="31.5" customHeight="1" x14ac:dyDescent="0.25">
      <c r="B363" s="105">
        <v>45757</v>
      </c>
      <c r="J363" s="105">
        <v>45757</v>
      </c>
    </row>
    <row r="364" spans="1:14" ht="31.5" customHeight="1" x14ac:dyDescent="0.25">
      <c r="B364" s="102">
        <v>45757</v>
      </c>
      <c r="J364" s="102">
        <v>45757</v>
      </c>
    </row>
    <row r="365" spans="1:14" ht="31.5" customHeight="1" x14ac:dyDescent="0.25">
      <c r="B365" s="105">
        <v>45757</v>
      </c>
      <c r="J365" s="105">
        <v>45757</v>
      </c>
    </row>
    <row r="366" spans="1:14" ht="31.5" customHeight="1" x14ac:dyDescent="0.25">
      <c r="B366" s="102">
        <v>45757</v>
      </c>
      <c r="J366" s="102">
        <v>45757</v>
      </c>
    </row>
    <row r="367" spans="1:14" ht="31.5" customHeight="1" x14ac:dyDescent="0.25">
      <c r="B367" s="105">
        <v>45757</v>
      </c>
      <c r="J367" s="105">
        <v>45757</v>
      </c>
    </row>
    <row r="368" spans="1:14" ht="31.5" customHeight="1" x14ac:dyDescent="0.25">
      <c r="B368" s="102">
        <v>45757</v>
      </c>
      <c r="J368" s="102">
        <v>45757</v>
      </c>
    </row>
    <row r="369" spans="1:14" ht="31.5" customHeight="1" x14ac:dyDescent="0.25">
      <c r="B369" s="105">
        <v>45757</v>
      </c>
      <c r="J369" s="105">
        <v>45757</v>
      </c>
    </row>
    <row r="370" spans="1:14" ht="31.5" customHeight="1" x14ac:dyDescent="0.25">
      <c r="B370" s="102">
        <v>45757</v>
      </c>
      <c r="J370" s="102">
        <v>45757</v>
      </c>
    </row>
    <row r="371" spans="1:14" ht="31.5" customHeight="1" x14ac:dyDescent="0.25">
      <c r="B371" s="105">
        <v>45757</v>
      </c>
      <c r="J371" s="105">
        <v>45757</v>
      </c>
    </row>
    <row r="372" spans="1:14" ht="31.5" customHeight="1" x14ac:dyDescent="0.25">
      <c r="B372" s="102">
        <v>45757</v>
      </c>
      <c r="J372" s="102">
        <v>45757</v>
      </c>
    </row>
    <row r="373" spans="1:14" ht="31.5" customHeight="1" x14ac:dyDescent="0.25">
      <c r="B373" s="105">
        <v>45757</v>
      </c>
      <c r="J373" s="105">
        <v>45757</v>
      </c>
    </row>
    <row r="374" spans="1:14" ht="31.5" customHeight="1" x14ac:dyDescent="0.25">
      <c r="B374" s="102">
        <v>45757</v>
      </c>
      <c r="J374" s="102">
        <v>45757</v>
      </c>
    </row>
    <row r="375" spans="1:14" ht="31.5" customHeight="1" x14ac:dyDescent="0.25">
      <c r="B375" s="105">
        <v>45757</v>
      </c>
      <c r="J375" s="105">
        <v>45757</v>
      </c>
    </row>
    <row r="376" spans="1:14" ht="31.5" customHeight="1" x14ac:dyDescent="0.25">
      <c r="B376" s="102">
        <v>45757</v>
      </c>
      <c r="J376" s="102">
        <v>45757</v>
      </c>
    </row>
    <row r="377" spans="1:14" ht="31.5" customHeight="1" x14ac:dyDescent="0.25">
      <c r="B377" s="105">
        <v>45757</v>
      </c>
      <c r="J377" s="105">
        <v>45757</v>
      </c>
    </row>
    <row r="378" spans="1:14" ht="31.5" customHeight="1" x14ac:dyDescent="0.25">
      <c r="B378" s="102">
        <v>45757</v>
      </c>
      <c r="J378" s="102">
        <v>45757</v>
      </c>
    </row>
    <row r="379" spans="1:14" ht="31.5" customHeight="1" x14ac:dyDescent="0.25">
      <c r="B379" s="105">
        <v>45757</v>
      </c>
      <c r="J379" s="105">
        <v>45757</v>
      </c>
    </row>
    <row r="380" spans="1:14" ht="31.5" customHeight="1" x14ac:dyDescent="0.25">
      <c r="B380" s="102">
        <v>45757</v>
      </c>
      <c r="J380" s="102">
        <v>45757</v>
      </c>
    </row>
    <row r="381" spans="1:14" ht="31.5" customHeight="1" x14ac:dyDescent="0.25">
      <c r="B381" s="105">
        <v>45757</v>
      </c>
      <c r="J381" s="105">
        <v>45757</v>
      </c>
    </row>
    <row r="382" spans="1:14" ht="31.5" customHeight="1" x14ac:dyDescent="0.25">
      <c r="B382" s="102">
        <v>45757</v>
      </c>
      <c r="J382" s="102">
        <v>45757</v>
      </c>
    </row>
    <row r="383" spans="1:14" ht="31.5" customHeight="1" x14ac:dyDescent="0.25">
      <c r="B383" s="105">
        <v>45757</v>
      </c>
      <c r="J383" s="105">
        <v>45757</v>
      </c>
    </row>
    <row r="384" spans="1:14" ht="31.5" customHeight="1" x14ac:dyDescent="0.25">
      <c r="B384" s="102">
        <v>45757</v>
      </c>
      <c r="J384" s="102">
        <v>45757</v>
      </c>
    </row>
    <row r="385" spans="1:14" ht="31.5" customHeight="1" x14ac:dyDescent="0.25">
      <c r="B385" s="105">
        <v>45757</v>
      </c>
      <c r="J385" s="105">
        <v>45757</v>
      </c>
    </row>
    <row r="386" spans="1:14" ht="31.5" customHeight="1" x14ac:dyDescent="0.25">
      <c r="B386" s="102">
        <v>45757</v>
      </c>
      <c r="J386" s="102">
        <v>45757</v>
      </c>
    </row>
    <row r="387" spans="1:14" ht="31.5" customHeight="1" x14ac:dyDescent="0.25">
      <c r="B387" s="105">
        <v>44270</v>
      </c>
      <c r="J387" s="105">
        <v>44270</v>
      </c>
    </row>
    <row r="388" spans="1:14" ht="31.5" customHeight="1" x14ac:dyDescent="0.25">
      <c r="B388" s="102">
        <v>44270</v>
      </c>
      <c r="J388" s="102">
        <v>44270</v>
      </c>
    </row>
    <row r="389" spans="1:14" ht="31.5" customHeight="1" x14ac:dyDescent="0.25">
      <c r="B389" s="105">
        <v>44270</v>
      </c>
      <c r="J389" s="105">
        <v>44270</v>
      </c>
    </row>
    <row r="390" spans="1:14" ht="31.5" customHeight="1" x14ac:dyDescent="0.25">
      <c r="B390" s="102">
        <v>44270</v>
      </c>
      <c r="J390" s="102">
        <v>44270</v>
      </c>
    </row>
    <row r="391" spans="1:14" ht="31.5" customHeight="1" x14ac:dyDescent="0.25">
      <c r="B391" s="105">
        <v>44270</v>
      </c>
      <c r="J391" s="105">
        <v>44270</v>
      </c>
    </row>
    <row r="392" spans="1:14" ht="31.5" customHeight="1" x14ac:dyDescent="0.25">
      <c r="B392" s="102">
        <v>44270</v>
      </c>
      <c r="J392" s="102">
        <v>44270</v>
      </c>
    </row>
    <row r="393" spans="1:14" ht="31.5" customHeight="1" x14ac:dyDescent="0.25">
      <c r="B393" s="105">
        <v>44270</v>
      </c>
      <c r="J393" s="105">
        <v>44270</v>
      </c>
    </row>
    <row r="394" spans="1:14" ht="31.5" customHeight="1" x14ac:dyDescent="0.25">
      <c r="B394" s="102">
        <v>44270</v>
      </c>
      <c r="J394" s="102">
        <v>44270</v>
      </c>
      <c r="M394" s="102">
        <v>45057</v>
      </c>
    </row>
    <row r="395" spans="1:14" ht="31.5" customHeight="1" x14ac:dyDescent="0.25">
      <c r="B395" s="105">
        <v>44270</v>
      </c>
      <c r="J395" s="105">
        <v>44270</v>
      </c>
      <c r="M395" s="105">
        <v>45058</v>
      </c>
    </row>
    <row r="396" spans="1:14" ht="31.5" customHeight="1" x14ac:dyDescent="0.25">
      <c r="B396" s="102">
        <v>45397</v>
      </c>
      <c r="J396" s="102">
        <v>45757</v>
      </c>
    </row>
    <row r="397" spans="1:14" ht="31.5" customHeight="1" x14ac:dyDescent="0.25">
      <c r="B397" s="105">
        <v>45397</v>
      </c>
      <c r="J397" s="105">
        <v>45757</v>
      </c>
    </row>
    <row r="398" spans="1:14" ht="31.5" customHeight="1" x14ac:dyDescent="0.25">
      <c r="B398" s="102">
        <v>45397</v>
      </c>
      <c r="J398" s="102">
        <v>45757</v>
      </c>
    </row>
    <row r="399" spans="1:14" ht="31.5" customHeight="1" x14ac:dyDescent="0.25">
      <c r="B399" s="105">
        <v>45397</v>
      </c>
      <c r="J399" s="105">
        <v>45757</v>
      </c>
    </row>
    <row r="400" spans="1:14" ht="31.5" customHeight="1" x14ac:dyDescent="0.25">
      <c r="B400" s="102">
        <v>45397</v>
      </c>
      <c r="J400" s="102">
        <v>45757</v>
      </c>
    </row>
    <row r="401" spans="1:14" ht="31.5" customHeight="1" x14ac:dyDescent="0.25">
      <c r="B401" s="105">
        <v>45397</v>
      </c>
      <c r="J401" s="105">
        <v>45757</v>
      </c>
    </row>
    <row r="402" spans="1:14" ht="31.5" customHeight="1" x14ac:dyDescent="0.25">
      <c r="B402" s="102">
        <v>45397</v>
      </c>
      <c r="J402" s="102">
        <v>45757</v>
      </c>
    </row>
    <row r="403" spans="1:14" ht="31.5" customHeight="1" x14ac:dyDescent="0.25">
      <c r="B403" s="105">
        <v>45397</v>
      </c>
      <c r="J403" s="105">
        <v>45757</v>
      </c>
    </row>
    <row r="404" spans="1:14" ht="31.5" customHeight="1" x14ac:dyDescent="0.25">
      <c r="B404" s="102">
        <v>45397</v>
      </c>
      <c r="J404" s="102">
        <v>45757</v>
      </c>
    </row>
    <row r="405" spans="1:14" ht="31.5" customHeight="1" x14ac:dyDescent="0.25">
      <c r="B405" s="105">
        <v>45397</v>
      </c>
      <c r="J405" s="105">
        <v>45947</v>
      </c>
    </row>
    <row r="406" spans="1:14" ht="31.5" customHeight="1" x14ac:dyDescent="0.25">
      <c r="B406" s="102">
        <v>45397</v>
      </c>
      <c r="J406" s="102">
        <v>45947</v>
      </c>
    </row>
    <row r="407" spans="1:14" ht="31.5" customHeight="1" x14ac:dyDescent="0.25">
      <c r="B407" s="105">
        <v>45397</v>
      </c>
      <c r="J407" s="105">
        <v>45757</v>
      </c>
    </row>
    <row r="408" spans="1:14" ht="31.5" customHeight="1" x14ac:dyDescent="0.25">
      <c r="B408" s="102">
        <v>45397</v>
      </c>
      <c r="J408" s="102">
        <v>45757</v>
      </c>
    </row>
    <row r="409" spans="1:14" ht="31.5" customHeight="1" x14ac:dyDescent="0.25">
      <c r="B409" s="105">
        <v>45397</v>
      </c>
      <c r="J409" s="105">
        <v>45757</v>
      </c>
    </row>
    <row r="410" spans="1:14" ht="31.5" customHeight="1" x14ac:dyDescent="0.25">
      <c r="B410" s="102">
        <v>45397</v>
      </c>
      <c r="J410" s="102">
        <v>45947</v>
      </c>
    </row>
    <row r="411" spans="1:14" ht="31.5" customHeight="1" x14ac:dyDescent="0.25">
      <c r="B411" s="105">
        <v>45397</v>
      </c>
      <c r="J411" s="105">
        <v>45947</v>
      </c>
    </row>
    <row r="412" spans="1:14" ht="31.5" customHeight="1" x14ac:dyDescent="0.25">
      <c r="B412" s="102">
        <v>45397</v>
      </c>
      <c r="J412" s="102">
        <v>45947</v>
      </c>
    </row>
    <row r="413" spans="1:14" ht="31.5" customHeight="1" x14ac:dyDescent="0.25">
      <c r="B413" s="105">
        <v>45397</v>
      </c>
      <c r="J413" s="105">
        <v>45757</v>
      </c>
    </row>
    <row r="414" spans="1:14" ht="31.5" customHeight="1" x14ac:dyDescent="0.25">
      <c r="B414" s="102">
        <v>45397</v>
      </c>
      <c r="J414" s="102">
        <v>45757</v>
      </c>
    </row>
    <row r="415" spans="1:14" ht="31.5" customHeight="1" x14ac:dyDescent="0.25">
      <c r="B415" s="105">
        <v>45397</v>
      </c>
      <c r="J415" s="105">
        <v>45757</v>
      </c>
    </row>
    <row r="416" spans="1:14" ht="31.5" customHeight="1" x14ac:dyDescent="0.25">
      <c r="B416" s="102">
        <v>45397</v>
      </c>
      <c r="J416" s="102">
        <v>45757</v>
      </c>
    </row>
    <row r="417" spans="1:14" ht="31.5" customHeight="1" x14ac:dyDescent="0.25">
      <c r="B417" s="105">
        <v>45397</v>
      </c>
      <c r="J417" s="105">
        <v>45757</v>
      </c>
    </row>
    <row r="418" spans="1:14" ht="31.5" customHeight="1" x14ac:dyDescent="0.25">
      <c r="B418" s="102">
        <v>45397</v>
      </c>
      <c r="J418" s="102">
        <v>45757</v>
      </c>
    </row>
    <row r="419" spans="1:14" ht="31.5" customHeight="1" x14ac:dyDescent="0.25">
      <c r="B419" s="105">
        <v>45397</v>
      </c>
      <c r="J419" s="105">
        <v>45757</v>
      </c>
    </row>
    <row r="420" spans="1:14" ht="31.5" customHeight="1" x14ac:dyDescent="0.25">
      <c r="B420" s="102">
        <v>45397</v>
      </c>
      <c r="J420" s="102">
        <v>45757</v>
      </c>
    </row>
    <row r="421" spans="1:14" ht="31.5" customHeight="1" x14ac:dyDescent="0.25">
      <c r="B421" s="105">
        <v>45397</v>
      </c>
      <c r="J421" s="105">
        <v>45757</v>
      </c>
    </row>
    <row r="422" spans="1:14" ht="31.5" customHeight="1" x14ac:dyDescent="0.25">
      <c r="B422" s="102">
        <v>45397</v>
      </c>
      <c r="J422" s="102">
        <v>45757</v>
      </c>
    </row>
    <row r="423" spans="1:14" ht="31.5" customHeight="1" x14ac:dyDescent="0.25">
      <c r="B423" s="105">
        <v>45397</v>
      </c>
      <c r="J423" s="105">
        <v>45757</v>
      </c>
    </row>
    <row r="424" spans="1:14" ht="31.5" customHeight="1" x14ac:dyDescent="0.25">
      <c r="B424" s="102">
        <v>45397</v>
      </c>
      <c r="J424" s="102">
        <v>45757</v>
      </c>
    </row>
    <row r="425" spans="1:14" ht="31.5" customHeight="1" x14ac:dyDescent="0.25">
      <c r="B425" s="105">
        <v>45397</v>
      </c>
      <c r="J425" s="105">
        <v>45757</v>
      </c>
    </row>
    <row r="426" spans="1:14" ht="31.5" customHeight="1" x14ac:dyDescent="0.25">
      <c r="B426" s="102">
        <v>45397</v>
      </c>
      <c r="J426" s="102">
        <v>45757</v>
      </c>
    </row>
    <row r="427" spans="1:14" ht="31.5" customHeight="1" x14ac:dyDescent="0.25">
      <c r="B427" s="105">
        <v>45397</v>
      </c>
      <c r="J427" s="105">
        <v>45757</v>
      </c>
    </row>
    <row r="428" spans="1:14" ht="31.5" customHeight="1" x14ac:dyDescent="0.25">
      <c r="B428" s="102">
        <v>45397</v>
      </c>
      <c r="J428" s="102">
        <v>45757</v>
      </c>
    </row>
    <row r="429" spans="1:14" ht="31.5" customHeight="1" x14ac:dyDescent="0.25">
      <c r="B429" s="105">
        <v>45397</v>
      </c>
      <c r="J429" s="105">
        <v>45757</v>
      </c>
    </row>
    <row r="430" spans="1:14" ht="31.5" customHeight="1" x14ac:dyDescent="0.25">
      <c r="B430" s="102">
        <v>45397</v>
      </c>
      <c r="J430" s="102">
        <v>45757</v>
      </c>
    </row>
    <row r="431" spans="1:14" ht="31.5" customHeight="1" x14ac:dyDescent="0.25">
      <c r="B431" s="105">
        <v>45397</v>
      </c>
      <c r="J431" s="105">
        <v>45757</v>
      </c>
    </row>
    <row r="432" spans="1:14" ht="31.5" customHeight="1" x14ac:dyDescent="0.25">
      <c r="B432" s="102">
        <v>44270</v>
      </c>
      <c r="J432" s="102">
        <v>44270</v>
      </c>
    </row>
    <row r="433" spans="1:14" ht="31.5" customHeight="1" x14ac:dyDescent="0.25">
      <c r="B433" s="105">
        <v>44270</v>
      </c>
      <c r="J433" s="105">
        <v>44270</v>
      </c>
    </row>
    <row r="434" spans="1:14" ht="31.5" customHeight="1" x14ac:dyDescent="0.25">
      <c r="B434" s="102">
        <v>44270</v>
      </c>
      <c r="J434" s="102">
        <v>44270</v>
      </c>
    </row>
    <row r="435" spans="1:14" ht="31.5" customHeight="1" x14ac:dyDescent="0.25">
      <c r="B435" s="105">
        <v>44270</v>
      </c>
      <c r="J435" s="105">
        <v>44270</v>
      </c>
    </row>
    <row r="436" spans="1:14" ht="31.5" customHeight="1" x14ac:dyDescent="0.25">
      <c r="B436" s="102">
        <v>44270</v>
      </c>
      <c r="J436" s="102">
        <v>44270</v>
      </c>
    </row>
    <row r="437" spans="1:14" ht="31.5" customHeight="1" x14ac:dyDescent="0.25">
      <c r="B437" s="105">
        <v>44270</v>
      </c>
      <c r="J437" s="105">
        <v>44270</v>
      </c>
    </row>
    <row r="438" spans="1:14" ht="31.5" customHeight="1" x14ac:dyDescent="0.25">
      <c r="B438" s="102">
        <v>44270</v>
      </c>
      <c r="J438" s="102">
        <v>44270</v>
      </c>
    </row>
    <row r="439" spans="1:14" ht="31.5" customHeight="1" x14ac:dyDescent="0.25">
      <c r="B439" s="105">
        <v>44270</v>
      </c>
      <c r="J439" s="105">
        <v>44270</v>
      </c>
    </row>
    <row r="440" spans="1:14" ht="31.5" customHeight="1" x14ac:dyDescent="0.25">
      <c r="B440" s="102">
        <v>45947</v>
      </c>
      <c r="J440" s="102">
        <v>45947</v>
      </c>
    </row>
    <row r="441" spans="1:14" ht="31.5" customHeight="1" x14ac:dyDescent="0.25">
      <c r="B441" s="105">
        <v>45947</v>
      </c>
      <c r="J441" s="105">
        <v>45947</v>
      </c>
    </row>
    <row r="442" spans="1:14" ht="31.5" customHeight="1" x14ac:dyDescent="0.25">
      <c r="B442" s="102">
        <v>45947</v>
      </c>
      <c r="J442" s="102">
        <v>45947</v>
      </c>
    </row>
    <row r="443" spans="1:14" ht="31.5" customHeight="1" x14ac:dyDescent="0.25">
      <c r="B443" s="105">
        <v>45947</v>
      </c>
      <c r="J443" s="105">
        <v>45947</v>
      </c>
    </row>
    <row r="444" spans="1:14" ht="31.5" customHeight="1" x14ac:dyDescent="0.25">
      <c r="B444" s="102">
        <v>45947</v>
      </c>
      <c r="J444" s="102">
        <v>45947</v>
      </c>
    </row>
    <row r="445" spans="1:14" ht="31.5" customHeight="1" x14ac:dyDescent="0.25">
      <c r="B445" s="105">
        <v>45947</v>
      </c>
      <c r="J445" s="105">
        <v>45947</v>
      </c>
    </row>
    <row r="446" spans="1:14" ht="31.5" customHeight="1" x14ac:dyDescent="0.25">
      <c r="B446" s="102">
        <v>45947</v>
      </c>
      <c r="J446" s="102">
        <v>45947</v>
      </c>
    </row>
    <row r="447" spans="1:14" ht="31.5" customHeight="1" x14ac:dyDescent="0.25">
      <c r="B447" s="105">
        <v>43908</v>
      </c>
      <c r="J447" s="105">
        <v>44270</v>
      </c>
    </row>
    <row r="448" spans="1:14" ht="31.5" customHeight="1" x14ac:dyDescent="0.25">
      <c r="B448" s="102">
        <v>43908</v>
      </c>
      <c r="J448" s="102">
        <v>44270</v>
      </c>
    </row>
    <row r="449" spans="1:14" ht="31.5" customHeight="1" x14ac:dyDescent="0.25">
      <c r="B449" s="105">
        <v>43908</v>
      </c>
      <c r="J449" s="105">
        <v>44270</v>
      </c>
    </row>
    <row r="450" spans="1:14" ht="31.5" customHeight="1" x14ac:dyDescent="0.25">
      <c r="B450" s="102">
        <v>43908</v>
      </c>
      <c r="J450" s="102">
        <v>45757</v>
      </c>
    </row>
    <row r="451" spans="1:14" ht="31.5" customHeight="1" x14ac:dyDescent="0.25">
      <c r="B451" s="105">
        <v>43908</v>
      </c>
      <c r="J451" s="105">
        <v>45757</v>
      </c>
    </row>
    <row r="452" spans="1:14" ht="31.5" customHeight="1" x14ac:dyDescent="0.25">
      <c r="B452" s="102">
        <v>43908</v>
      </c>
      <c r="J452" s="102">
        <v>44270</v>
      </c>
    </row>
    <row r="453" spans="1:14" ht="31.5" customHeight="1" x14ac:dyDescent="0.25">
      <c r="B453" s="105">
        <v>43908</v>
      </c>
      <c r="J453" s="105">
        <v>44270</v>
      </c>
    </row>
    <row r="454" spans="1:14" ht="31.5" customHeight="1" x14ac:dyDescent="0.25">
      <c r="B454" s="102">
        <v>43908</v>
      </c>
      <c r="J454" s="102">
        <v>44270</v>
      </c>
    </row>
    <row r="455" spans="1:14" ht="31.5" customHeight="1" x14ac:dyDescent="0.25">
      <c r="B455" s="105">
        <v>43908</v>
      </c>
      <c r="J455" s="105">
        <v>44270</v>
      </c>
    </row>
    <row r="456" spans="1:14" ht="31.5" customHeight="1" x14ac:dyDescent="0.25">
      <c r="B456" s="102">
        <v>43908</v>
      </c>
      <c r="J456" s="102">
        <v>44270</v>
      </c>
    </row>
    <row r="457" spans="1:14" ht="31.5" customHeight="1" x14ac:dyDescent="0.25">
      <c r="B457" s="105">
        <v>43908</v>
      </c>
      <c r="J457" s="105">
        <v>44270</v>
      </c>
      <c r="M457" s="105">
        <v>45057</v>
      </c>
    </row>
    <row r="458" spans="1:14" ht="31.5" customHeight="1" x14ac:dyDescent="0.25">
      <c r="B458" s="102">
        <v>43908</v>
      </c>
      <c r="J458" s="102">
        <v>44270</v>
      </c>
      <c r="M458" s="102">
        <v>45057</v>
      </c>
    </row>
    <row r="459" spans="1:14" ht="31.5" customHeight="1" x14ac:dyDescent="0.25">
      <c r="B459" s="105">
        <v>43908</v>
      </c>
      <c r="J459" s="105">
        <v>45947</v>
      </c>
      <c r="M459" s="105">
        <v>45058</v>
      </c>
    </row>
    <row r="460" spans="1:14" ht="31.5" customHeight="1" x14ac:dyDescent="0.25">
      <c r="B460" s="102">
        <v>43908</v>
      </c>
      <c r="J460" s="102">
        <v>44270</v>
      </c>
      <c r="M460" s="102">
        <v>45058</v>
      </c>
    </row>
    <row r="461" spans="1:14" ht="31.5" customHeight="1" x14ac:dyDescent="0.25">
      <c r="B461" s="105">
        <v>43908</v>
      </c>
      <c r="J461" s="105">
        <v>44270</v>
      </c>
      <c r="M461" s="105">
        <v>45058</v>
      </c>
    </row>
    <row r="462" spans="1:14" ht="31.5" customHeight="1" x14ac:dyDescent="0.25">
      <c r="B462" s="102">
        <v>43908</v>
      </c>
      <c r="J462" s="102">
        <v>44270</v>
      </c>
      <c r="M462" s="102">
        <v>45058</v>
      </c>
    </row>
    <row r="463" spans="1:14" ht="31.5" customHeight="1" x14ac:dyDescent="0.25">
      <c r="B463" s="105">
        <v>43908</v>
      </c>
      <c r="J463" s="105">
        <v>44270</v>
      </c>
    </row>
    <row r="464" spans="1:14" ht="31.5" customHeight="1" x14ac:dyDescent="0.25">
      <c r="B464" s="102">
        <v>43908</v>
      </c>
      <c r="J464" s="102">
        <v>44270</v>
      </c>
    </row>
    <row r="465" spans="1:14" ht="31.5" customHeight="1" x14ac:dyDescent="0.25">
      <c r="B465" s="105">
        <v>44644</v>
      </c>
      <c r="J465" s="105">
        <v>45757</v>
      </c>
    </row>
    <row r="466" spans="1:14" ht="31.5" customHeight="1" x14ac:dyDescent="0.25">
      <c r="B466" s="102">
        <v>44644</v>
      </c>
      <c r="J466" s="102">
        <v>45757</v>
      </c>
      <c r="M466" s="102">
        <v>45058</v>
      </c>
    </row>
    <row r="467" spans="1:14" ht="31.5" customHeight="1" x14ac:dyDescent="0.25">
      <c r="B467" s="105">
        <v>44644</v>
      </c>
      <c r="J467" s="105">
        <v>45757</v>
      </c>
      <c r="M467" s="105">
        <v>45058</v>
      </c>
    </row>
    <row r="468" spans="1:14" ht="31.5" customHeight="1" x14ac:dyDescent="0.25">
      <c r="B468" s="102">
        <v>44644</v>
      </c>
      <c r="J468" s="102">
        <v>45757</v>
      </c>
      <c r="M468" s="102">
        <v>45058</v>
      </c>
    </row>
    <row r="469" spans="1:14" ht="31.5" customHeight="1" x14ac:dyDescent="0.25">
      <c r="B469" s="105">
        <v>44644</v>
      </c>
      <c r="J469" s="105">
        <v>45757</v>
      </c>
    </row>
    <row r="470" spans="1:14" ht="31.5" customHeight="1" x14ac:dyDescent="0.25">
      <c r="B470" s="102">
        <v>44644</v>
      </c>
      <c r="J470" s="102">
        <v>45947</v>
      </c>
      <c r="M470" s="102">
        <v>45058</v>
      </c>
    </row>
    <row r="471" spans="1:14" ht="31.5" customHeight="1" x14ac:dyDescent="0.25">
      <c r="B471" s="105">
        <v>44644</v>
      </c>
      <c r="J471" s="105">
        <v>45757</v>
      </c>
    </row>
    <row r="472" spans="1:14" ht="31.5" customHeight="1" x14ac:dyDescent="0.25">
      <c r="B472" s="102">
        <v>43325</v>
      </c>
      <c r="J472" s="102">
        <v>44510</v>
      </c>
      <c r="M472" s="102">
        <v>44600</v>
      </c>
    </row>
    <row r="473" spans="1:14" ht="31.5" customHeight="1" x14ac:dyDescent="0.25">
      <c r="B473" s="105">
        <v>42569</v>
      </c>
      <c r="J473" s="105">
        <v>44510</v>
      </c>
      <c r="M473" s="105">
        <v>45089</v>
      </c>
    </row>
    <row r="474" spans="1:14" ht="31.5" customHeight="1" x14ac:dyDescent="0.25">
      <c r="B474" s="102">
        <v>42569</v>
      </c>
      <c r="J474" s="102">
        <v>44510</v>
      </c>
      <c r="M474" s="102">
        <v>44992</v>
      </c>
    </row>
    <row r="475" spans="1:14" ht="31.5" customHeight="1" x14ac:dyDescent="0.25">
      <c r="B475" s="105">
        <v>43711</v>
      </c>
      <c r="J475" s="105">
        <v>44510</v>
      </c>
    </row>
    <row r="476" spans="1:14" ht="31.5" customHeight="1" x14ac:dyDescent="0.25">
      <c r="B476" s="102">
        <v>43711</v>
      </c>
      <c r="J476" s="102">
        <v>44510</v>
      </c>
    </row>
    <row r="477" spans="1:14" ht="31.5" customHeight="1" x14ac:dyDescent="0.25">
      <c r="B477" s="105">
        <v>43711</v>
      </c>
      <c r="J477" s="105">
        <v>44510</v>
      </c>
      <c r="M477" s="105">
        <v>44600</v>
      </c>
    </row>
    <row r="478" spans="1:14" ht="31.5" customHeight="1" x14ac:dyDescent="0.25">
      <c r="B478" s="102">
        <v>43711</v>
      </c>
      <c r="J478" s="102">
        <v>44510</v>
      </c>
    </row>
    <row r="479" spans="1:14" ht="31.5" customHeight="1" x14ac:dyDescent="0.25">
      <c r="B479" s="105">
        <v>43711</v>
      </c>
      <c r="J479" s="105">
        <v>44510</v>
      </c>
      <c r="M479" s="105">
        <v>44600</v>
      </c>
    </row>
    <row r="480" spans="1:14" ht="31.5" customHeight="1" x14ac:dyDescent="0.25">
      <c r="B480" s="102">
        <v>43711</v>
      </c>
      <c r="J480" s="102">
        <v>44510</v>
      </c>
      <c r="M480" s="102">
        <v>44600</v>
      </c>
    </row>
    <row r="481" spans="1:14" ht="31.5" customHeight="1" x14ac:dyDescent="0.25">
      <c r="B481" s="105">
        <v>43711</v>
      </c>
      <c r="J481" s="105">
        <v>44510</v>
      </c>
      <c r="M481" s="105">
        <v>44610</v>
      </c>
    </row>
    <row r="482" spans="1:14" ht="31.5" customHeight="1" x14ac:dyDescent="0.25">
      <c r="B482" s="102">
        <v>43711</v>
      </c>
      <c r="J482" s="102">
        <v>44510</v>
      </c>
      <c r="M482" s="102">
        <v>44992</v>
      </c>
    </row>
    <row r="483" spans="1:14" ht="31.5" customHeight="1" x14ac:dyDescent="0.25">
      <c r="B483" s="105">
        <v>44018</v>
      </c>
      <c r="J483" s="105">
        <v>44510</v>
      </c>
      <c r="M483" s="105">
        <v>44992</v>
      </c>
    </row>
    <row r="484" spans="1:14" ht="31.5" customHeight="1" x14ac:dyDescent="0.25">
      <c r="B484" s="102">
        <v>44018</v>
      </c>
      <c r="J484" s="102">
        <v>44510</v>
      </c>
    </row>
    <row r="485" spans="1:14" ht="31.5" customHeight="1" x14ac:dyDescent="0.25">
      <c r="B485" s="105">
        <v>44018</v>
      </c>
      <c r="J485" s="105">
        <v>44510</v>
      </c>
    </row>
    <row r="486" spans="1:14" ht="31.5" customHeight="1" x14ac:dyDescent="0.25">
      <c r="B486" s="102">
        <v>44018</v>
      </c>
      <c r="J486" s="102">
        <v>44510</v>
      </c>
    </row>
    <row r="487" spans="1:14" ht="31.5" customHeight="1" x14ac:dyDescent="0.25">
      <c r="B487" s="105">
        <v>44018</v>
      </c>
      <c r="J487" s="105">
        <v>44510</v>
      </c>
    </row>
    <row r="488" spans="1:14" ht="31.5" customHeight="1" x14ac:dyDescent="0.25">
      <c r="B488" s="102">
        <v>44510</v>
      </c>
      <c r="J488" s="102">
        <v>44510</v>
      </c>
      <c r="M488" s="102">
        <v>44600</v>
      </c>
    </row>
    <row r="489" spans="1:14" ht="31.5" customHeight="1" x14ac:dyDescent="0.25">
      <c r="B489" s="105">
        <v>44510</v>
      </c>
      <c r="J489" s="105">
        <v>44510</v>
      </c>
      <c r="M489" s="105">
        <v>44600</v>
      </c>
    </row>
    <row r="490" spans="1:14" ht="31.5" customHeight="1" x14ac:dyDescent="0.25">
      <c r="B490" s="102">
        <v>44510</v>
      </c>
      <c r="J490" s="102">
        <v>44510</v>
      </c>
      <c r="M490" s="102">
        <v>44993</v>
      </c>
    </row>
    <row r="491" spans="1:14" ht="31.5" customHeight="1" x14ac:dyDescent="0.25">
      <c r="B491" s="105">
        <v>44510</v>
      </c>
      <c r="J491" s="105">
        <v>44510</v>
      </c>
    </row>
    <row r="492" spans="1:14" ht="31.5" customHeight="1" x14ac:dyDescent="0.25">
      <c r="B492" s="102">
        <v>44510</v>
      </c>
      <c r="J492" s="102">
        <v>44510</v>
      </c>
      <c r="M492" s="102">
        <v>45089</v>
      </c>
    </row>
    <row r="493" spans="1:14" ht="31.5" customHeight="1" x14ac:dyDescent="0.25">
      <c r="B493" s="105">
        <v>44510</v>
      </c>
      <c r="J493" s="105">
        <v>44510</v>
      </c>
      <c r="M493" s="105">
        <v>44993</v>
      </c>
    </row>
    <row r="494" spans="1:14" ht="31.5" customHeight="1" x14ac:dyDescent="0.25">
      <c r="B494" s="102">
        <v>44510</v>
      </c>
      <c r="J494" s="102">
        <v>44510</v>
      </c>
    </row>
    <row r="495" spans="1:14" ht="31.5" customHeight="1" x14ac:dyDescent="0.25">
      <c r="B495" s="105">
        <v>44510</v>
      </c>
      <c r="J495" s="105">
        <v>44510</v>
      </c>
      <c r="M495" s="105">
        <v>44600</v>
      </c>
    </row>
    <row r="496" spans="1:14" ht="31.5" customHeight="1" x14ac:dyDescent="0.25">
      <c r="B496" s="102">
        <v>44510</v>
      </c>
      <c r="J496" s="102">
        <v>44510</v>
      </c>
    </row>
    <row r="497" spans="1:14" ht="31.5" customHeight="1" x14ac:dyDescent="0.25">
      <c r="B497" s="105">
        <v>44510</v>
      </c>
      <c r="J497" s="105">
        <v>44510</v>
      </c>
      <c r="M497" s="105">
        <v>44992</v>
      </c>
    </row>
    <row r="498" spans="1:14" ht="31.5" customHeight="1" x14ac:dyDescent="0.25">
      <c r="B498" s="102">
        <v>44510</v>
      </c>
      <c r="J498" s="102">
        <v>44510</v>
      </c>
      <c r="M498" s="102">
        <v>44600</v>
      </c>
    </row>
    <row r="499" spans="1:14" ht="31.5" customHeight="1" x14ac:dyDescent="0.25">
      <c r="B499" s="105">
        <v>44510</v>
      </c>
      <c r="J499" s="105">
        <v>44510</v>
      </c>
    </row>
    <row r="500" spans="1:14" ht="31.5" customHeight="1" x14ac:dyDescent="0.25">
      <c r="B500" s="102">
        <v>44510</v>
      </c>
      <c r="J500" s="102">
        <v>44510</v>
      </c>
      <c r="M500" s="102">
        <v>45089</v>
      </c>
    </row>
    <row r="501" spans="1:14" ht="31.5" customHeight="1" x14ac:dyDescent="0.25">
      <c r="B501" s="105">
        <v>44510</v>
      </c>
      <c r="J501" s="105">
        <v>44510</v>
      </c>
      <c r="M501" s="105">
        <v>45089</v>
      </c>
    </row>
    <row r="502" spans="1:14" ht="31.5" customHeight="1" x14ac:dyDescent="0.25">
      <c r="B502" s="102">
        <v>44510</v>
      </c>
      <c r="J502" s="102">
        <v>44510</v>
      </c>
    </row>
    <row r="503" spans="1:14" ht="31.5" customHeight="1" x14ac:dyDescent="0.25">
      <c r="B503" s="105">
        <v>44510</v>
      </c>
      <c r="J503" s="105">
        <v>44510</v>
      </c>
    </row>
    <row r="504" spans="1:14" ht="31.5" customHeight="1" x14ac:dyDescent="0.25">
      <c r="B504" s="102">
        <v>44510</v>
      </c>
      <c r="J504" s="102">
        <v>44510</v>
      </c>
    </row>
    <row r="505" spans="1:14" ht="31.5" customHeight="1" x14ac:dyDescent="0.25">
      <c r="B505" s="105">
        <v>44510</v>
      </c>
      <c r="J505" s="105">
        <v>44510</v>
      </c>
    </row>
    <row r="506" spans="1:14" ht="31.5" customHeight="1" x14ac:dyDescent="0.25">
      <c r="B506" s="102">
        <v>44510</v>
      </c>
      <c r="J506" s="102">
        <v>44510</v>
      </c>
    </row>
    <row r="507" spans="1:14" ht="31.5" customHeight="1" x14ac:dyDescent="0.25">
      <c r="B507" s="105">
        <v>44510</v>
      </c>
      <c r="J507" s="105">
        <v>44510</v>
      </c>
    </row>
    <row r="508" spans="1:14" ht="31.5" customHeight="1" x14ac:dyDescent="0.25">
      <c r="B508" s="102">
        <v>44510</v>
      </c>
      <c r="J508" s="102">
        <v>44510</v>
      </c>
    </row>
    <row r="509" spans="1:14" ht="31.5" customHeight="1" x14ac:dyDescent="0.25">
      <c r="B509" s="105">
        <v>44510</v>
      </c>
      <c r="J509" s="105">
        <v>44510</v>
      </c>
    </row>
    <row r="510" spans="1:14" ht="31.5" customHeight="1" x14ac:dyDescent="0.25">
      <c r="B510" s="102">
        <v>46093</v>
      </c>
      <c r="J510" s="102">
        <v>46093</v>
      </c>
    </row>
    <row r="511" spans="1:14" ht="31.5" customHeight="1" x14ac:dyDescent="0.25">
      <c r="B511" s="105">
        <v>46093</v>
      </c>
      <c r="J511" s="105">
        <v>46093</v>
      </c>
    </row>
    <row r="512" spans="1:14" ht="31.5" customHeight="1" x14ac:dyDescent="0.25">
      <c r="B512" s="102">
        <v>46093</v>
      </c>
      <c r="J512" s="102">
        <v>46093</v>
      </c>
    </row>
    <row r="513" spans="1:14" ht="31.5" customHeight="1" x14ac:dyDescent="0.25">
      <c r="B513" s="105">
        <v>46093</v>
      </c>
      <c r="J513" s="105">
        <v>46093</v>
      </c>
    </row>
    <row r="514" spans="1:14" ht="31.5" customHeight="1" x14ac:dyDescent="0.25">
      <c r="B514" s="102">
        <v>45386</v>
      </c>
      <c r="J514" s="102">
        <v>45741</v>
      </c>
    </row>
    <row r="515" spans="1:14" ht="31.5" customHeight="1" x14ac:dyDescent="0.25">
      <c r="B515" s="105">
        <v>45365</v>
      </c>
      <c r="J515" s="105">
        <v>45741</v>
      </c>
    </row>
    <row r="516" spans="1:14" ht="31.5" customHeight="1" x14ac:dyDescent="0.25">
      <c r="B516" s="102">
        <v>45365</v>
      </c>
      <c r="J516" s="102">
        <v>45741</v>
      </c>
    </row>
    <row r="517" spans="1:14" ht="31.5" customHeight="1" x14ac:dyDescent="0.25">
      <c r="B517" s="105">
        <v>45365</v>
      </c>
      <c r="J517" s="105">
        <v>45741</v>
      </c>
    </row>
    <row r="518" spans="1:14" ht="31.5" customHeight="1" x14ac:dyDescent="0.25">
      <c r="B518" s="102">
        <v>45365</v>
      </c>
      <c r="J518" s="102">
        <v>45741</v>
      </c>
    </row>
    <row r="519" spans="1:14" ht="31.5" customHeight="1" x14ac:dyDescent="0.25">
      <c r="B519" s="105">
        <v>45365</v>
      </c>
      <c r="J519" s="105">
        <v>45741</v>
      </c>
    </row>
    <row r="520" spans="1:14" ht="31.5" customHeight="1" x14ac:dyDescent="0.25">
      <c r="B520" s="102">
        <v>44608</v>
      </c>
      <c r="J520" s="102">
        <v>45741</v>
      </c>
      <c r="M520" s="102">
        <v>45054</v>
      </c>
    </row>
    <row r="521" spans="1:14" ht="31.5" customHeight="1" x14ac:dyDescent="0.25">
      <c r="B521" s="105">
        <v>45741</v>
      </c>
      <c r="J521" s="105">
        <v>45741</v>
      </c>
    </row>
    <row r="522" spans="1:14" ht="31.5" customHeight="1" x14ac:dyDescent="0.25">
      <c r="B522" s="102">
        <v>45741</v>
      </c>
      <c r="J522" s="102">
        <v>45741</v>
      </c>
    </row>
    <row r="523" spans="1:14" ht="31.5" customHeight="1" x14ac:dyDescent="0.25">
      <c r="B523" s="105">
        <v>45741</v>
      </c>
      <c r="J523" s="105">
        <v>45741</v>
      </c>
    </row>
    <row r="524" spans="1:14" ht="31.5" customHeight="1" x14ac:dyDescent="0.25">
      <c r="B524" s="102">
        <v>45741</v>
      </c>
      <c r="J524" s="102">
        <v>45741</v>
      </c>
    </row>
    <row r="525" spans="1:14" ht="31.5" customHeight="1" x14ac:dyDescent="0.25">
      <c r="B525" s="105">
        <v>45741</v>
      </c>
      <c r="J525" s="105">
        <v>45741</v>
      </c>
    </row>
    <row r="526" spans="1:14" ht="31.5" customHeight="1" x14ac:dyDescent="0.25">
      <c r="B526" s="102">
        <v>45741</v>
      </c>
      <c r="J526" s="102">
        <v>45741</v>
      </c>
    </row>
    <row r="527" spans="1:14" ht="31.5" customHeight="1" x14ac:dyDescent="0.25">
      <c r="B527" s="105">
        <v>45741</v>
      </c>
      <c r="J527" s="105">
        <v>45741</v>
      </c>
    </row>
    <row r="528" spans="1:14" ht="31.5" customHeight="1" x14ac:dyDescent="0.25">
      <c r="B528" s="102">
        <v>45741</v>
      </c>
      <c r="J528" s="102">
        <v>45741</v>
      </c>
    </row>
    <row r="529" spans="1:14" ht="31.5" customHeight="1" x14ac:dyDescent="0.25">
      <c r="B529" s="105">
        <v>45741</v>
      </c>
      <c r="J529" s="105">
        <v>45741</v>
      </c>
    </row>
    <row r="530" spans="1:14" ht="31.5" customHeight="1" x14ac:dyDescent="0.25">
      <c r="B530" s="102">
        <v>45741</v>
      </c>
      <c r="J530" s="102">
        <v>45741</v>
      </c>
    </row>
    <row r="531" spans="1:14" ht="31.5" customHeight="1" x14ac:dyDescent="0.25">
      <c r="B531" s="105">
        <v>45741</v>
      </c>
      <c r="J531" s="105">
        <v>45741</v>
      </c>
    </row>
    <row r="532" spans="1:14" ht="31.5" customHeight="1" x14ac:dyDescent="0.25">
      <c r="B532" s="102">
        <v>46097</v>
      </c>
      <c r="J532" s="102">
        <v>46097</v>
      </c>
    </row>
    <row r="533" spans="1:14" ht="31.5" customHeight="1" x14ac:dyDescent="0.25">
      <c r="B533" s="105">
        <v>46097</v>
      </c>
      <c r="J533" s="105">
        <v>46097</v>
      </c>
    </row>
    <row r="534" spans="1:14" ht="31.5" customHeight="1" x14ac:dyDescent="0.25">
      <c r="B534" s="102">
        <v>46097</v>
      </c>
      <c r="J534" s="102">
        <v>46097</v>
      </c>
    </row>
    <row r="535" spans="1:14" ht="31.5" customHeight="1" x14ac:dyDescent="0.25">
      <c r="B535" s="105">
        <v>46097</v>
      </c>
      <c r="J535" s="105">
        <v>46097</v>
      </c>
    </row>
    <row r="536" spans="1:14" ht="31.5" customHeight="1" x14ac:dyDescent="0.25">
      <c r="B536" s="102">
        <v>46097</v>
      </c>
      <c r="J536" s="102">
        <v>46097</v>
      </c>
    </row>
    <row r="537" spans="1:14" ht="31.5" customHeight="1" x14ac:dyDescent="0.25">
      <c r="B537" s="105">
        <v>46097</v>
      </c>
      <c r="J537" s="105">
        <v>46097</v>
      </c>
    </row>
    <row r="538" spans="1:14" ht="31.5" customHeight="1" x14ac:dyDescent="0.25">
      <c r="B538" s="102">
        <v>46097</v>
      </c>
      <c r="J538" s="102">
        <v>46097</v>
      </c>
    </row>
    <row r="539" spans="1:14" ht="31.5" customHeight="1" x14ac:dyDescent="0.25">
      <c r="B539" s="105">
        <v>45748</v>
      </c>
      <c r="J539" s="105">
        <v>46097</v>
      </c>
    </row>
    <row r="540" spans="1:14" ht="31.5" customHeight="1" x14ac:dyDescent="0.25">
      <c r="B540" s="102">
        <v>46057</v>
      </c>
      <c r="J540" s="102">
        <v>46057</v>
      </c>
    </row>
    <row r="541" spans="1:14" ht="31.5" customHeight="1" x14ac:dyDescent="0.25">
      <c r="B541" s="105">
        <v>46057</v>
      </c>
      <c r="J541" s="105">
        <v>46057</v>
      </c>
    </row>
    <row r="542" spans="1:14" ht="31.5" customHeight="1" x14ac:dyDescent="0.25">
      <c r="B542" s="102">
        <v>46057</v>
      </c>
      <c r="J542" s="102">
        <v>46057</v>
      </c>
    </row>
    <row r="543" spans="1:14" ht="31.5" customHeight="1" x14ac:dyDescent="0.25">
      <c r="B543" s="105">
        <v>46057</v>
      </c>
      <c r="J543" s="105">
        <v>46057</v>
      </c>
    </row>
    <row r="544" spans="1:14" ht="31.5" customHeight="1" x14ac:dyDescent="0.25">
      <c r="B544" s="102">
        <v>44209</v>
      </c>
      <c r="J544" s="102">
        <v>44209</v>
      </c>
    </row>
    <row r="545" spans="1:14" ht="31.5" customHeight="1" x14ac:dyDescent="0.25">
      <c r="B545" s="105">
        <v>44209</v>
      </c>
      <c r="J545" s="105">
        <v>44209</v>
      </c>
    </row>
    <row r="546" spans="1:14" ht="31.5" customHeight="1" x14ac:dyDescent="0.25">
      <c r="B546" s="102">
        <v>44209</v>
      </c>
      <c r="J546" s="102">
        <v>44209</v>
      </c>
    </row>
    <row r="547" spans="1:14" ht="31.5" customHeight="1" x14ac:dyDescent="0.25">
      <c r="B547" s="105">
        <v>44209</v>
      </c>
      <c r="J547" s="105">
        <v>44209</v>
      </c>
    </row>
    <row r="548" spans="1:14" ht="31.5" customHeight="1" x14ac:dyDescent="0.25">
      <c r="B548" s="102">
        <v>44209</v>
      </c>
      <c r="J548" s="102">
        <v>44209</v>
      </c>
    </row>
    <row r="549" spans="1:14" ht="31.5" customHeight="1" x14ac:dyDescent="0.25">
      <c r="B549" s="105">
        <v>44209</v>
      </c>
      <c r="J549" s="105">
        <v>44209</v>
      </c>
    </row>
    <row r="550" spans="1:14" ht="31.5" customHeight="1" x14ac:dyDescent="0.25">
      <c r="B550" s="102">
        <v>44209</v>
      </c>
      <c r="J550" s="102">
        <v>44209</v>
      </c>
    </row>
    <row r="551" spans="1:14" ht="31.5" customHeight="1" x14ac:dyDescent="0.25">
      <c r="B551" s="105">
        <v>44209</v>
      </c>
      <c r="J551" s="105">
        <v>44209</v>
      </c>
    </row>
    <row r="552" spans="1:14" ht="31.5" customHeight="1" x14ac:dyDescent="0.25">
      <c r="B552" s="102">
        <v>44209</v>
      </c>
      <c r="J552" s="102">
        <v>44209</v>
      </c>
    </row>
    <row r="553" spans="1:14" ht="31.5" customHeight="1" x14ac:dyDescent="0.25">
      <c r="B553" s="105">
        <v>44209</v>
      </c>
      <c r="J553" s="105">
        <v>45741</v>
      </c>
    </row>
    <row r="554" spans="1:14" ht="31.5" customHeight="1" x14ac:dyDescent="0.25">
      <c r="B554" s="102">
        <v>44209</v>
      </c>
      <c r="J554" s="102">
        <v>44209</v>
      </c>
    </row>
    <row r="555" spans="1:14" ht="31.5" customHeight="1" x14ac:dyDescent="0.25">
      <c r="B555" s="105">
        <v>44209</v>
      </c>
      <c r="J555" s="105">
        <v>44209</v>
      </c>
    </row>
    <row r="556" spans="1:14" ht="31.5" customHeight="1" x14ac:dyDescent="0.25">
      <c r="B556" s="102">
        <v>45364</v>
      </c>
      <c r="J556" s="102">
        <v>45741</v>
      </c>
    </row>
    <row r="557" spans="1:14" ht="31.5" customHeight="1" x14ac:dyDescent="0.25">
      <c r="B557" s="105">
        <v>45364</v>
      </c>
      <c r="J557" s="105">
        <v>45741</v>
      </c>
    </row>
    <row r="558" spans="1:14" ht="31.5" customHeight="1" x14ac:dyDescent="0.25">
      <c r="B558" s="102">
        <v>45364</v>
      </c>
      <c r="J558" s="102">
        <v>45741</v>
      </c>
    </row>
    <row r="559" spans="1:14" ht="31.5" customHeight="1" x14ac:dyDescent="0.25">
      <c r="B559" s="105">
        <v>45364</v>
      </c>
      <c r="J559" s="105">
        <v>45741</v>
      </c>
    </row>
    <row r="560" spans="1:14" ht="31.5" customHeight="1" x14ac:dyDescent="0.25">
      <c r="B560" s="102">
        <v>45364</v>
      </c>
      <c r="J560" s="102">
        <v>45741</v>
      </c>
    </row>
    <row r="561" spans="1:14" ht="31.5" customHeight="1" x14ac:dyDescent="0.25">
      <c r="B561" s="105">
        <v>45364</v>
      </c>
      <c r="J561" s="105">
        <v>45741</v>
      </c>
    </row>
    <row r="562" spans="1:14" ht="31.5" customHeight="1" x14ac:dyDescent="0.25">
      <c r="B562" s="102">
        <v>45364</v>
      </c>
      <c r="J562" s="102">
        <v>45741</v>
      </c>
    </row>
    <row r="563" spans="1:14" ht="31.5" customHeight="1" x14ac:dyDescent="0.25">
      <c r="B563" s="105">
        <v>45364</v>
      </c>
      <c r="J563" s="105">
        <v>45741</v>
      </c>
    </row>
    <row r="564" spans="1:14" ht="31.5" customHeight="1" x14ac:dyDescent="0.25">
      <c r="B564" s="102">
        <v>45364</v>
      </c>
      <c r="J564" s="102">
        <v>45741</v>
      </c>
    </row>
    <row r="565" spans="1:14" ht="31.5" customHeight="1" x14ac:dyDescent="0.25">
      <c r="B565" s="105">
        <v>45364</v>
      </c>
      <c r="J565" s="105">
        <v>45741</v>
      </c>
    </row>
    <row r="566" spans="1:14" ht="31.5" customHeight="1" x14ac:dyDescent="0.25">
      <c r="B566" s="102">
        <v>44606</v>
      </c>
      <c r="J566" s="102">
        <v>45741</v>
      </c>
    </row>
    <row r="567" spans="1:14" ht="31.5" customHeight="1" x14ac:dyDescent="0.25">
      <c r="B567" s="105">
        <v>45741</v>
      </c>
      <c r="J567" s="105">
        <v>45741</v>
      </c>
    </row>
    <row r="568" spans="1:14" ht="31.5" customHeight="1" x14ac:dyDescent="0.25">
      <c r="B568" s="102">
        <v>45741</v>
      </c>
      <c r="J568" s="102">
        <v>45741</v>
      </c>
    </row>
    <row r="569" spans="1:14" ht="31.5" customHeight="1" x14ac:dyDescent="0.25">
      <c r="B569" s="105">
        <v>45741</v>
      </c>
      <c r="J569" s="105">
        <v>45741</v>
      </c>
    </row>
    <row r="570" spans="1:14" ht="31.5" customHeight="1" x14ac:dyDescent="0.25">
      <c r="B570" s="102">
        <v>45741</v>
      </c>
      <c r="J570" s="102">
        <v>45741</v>
      </c>
    </row>
    <row r="571" spans="1:14" ht="31.5" customHeight="1" x14ac:dyDescent="0.25">
      <c r="B571" s="105">
        <v>45741</v>
      </c>
      <c r="J571" s="105">
        <v>45741</v>
      </c>
    </row>
    <row r="572" spans="1:14" ht="31.5" customHeight="1" x14ac:dyDescent="0.25">
      <c r="B572" s="102">
        <v>46111</v>
      </c>
      <c r="J572" s="102">
        <v>46111</v>
      </c>
    </row>
    <row r="573" spans="1:14" ht="31.5" customHeight="1" x14ac:dyDescent="0.25">
      <c r="B573" s="105">
        <v>46111</v>
      </c>
      <c r="J573" s="105">
        <v>46111</v>
      </c>
    </row>
    <row r="574" spans="1:14" ht="31.5" customHeight="1" x14ac:dyDescent="0.25">
      <c r="B574" s="102">
        <v>46111</v>
      </c>
      <c r="J574" s="102">
        <v>46111</v>
      </c>
    </row>
    <row r="575" spans="1:14" ht="31.5" customHeight="1" x14ac:dyDescent="0.25">
      <c r="B575" s="105">
        <v>46111</v>
      </c>
      <c r="J575" s="105">
        <v>46111</v>
      </c>
    </row>
    <row r="576" spans="1:14" ht="31.5" customHeight="1" x14ac:dyDescent="0.25">
      <c r="B576" s="102">
        <v>46111</v>
      </c>
      <c r="J576" s="102">
        <v>46111</v>
      </c>
    </row>
    <row r="577" spans="1:14" ht="31.5" customHeight="1" x14ac:dyDescent="0.25">
      <c r="B577" s="105">
        <v>46111</v>
      </c>
      <c r="J577" s="105">
        <v>46111</v>
      </c>
    </row>
    <row r="578" spans="1:14" ht="31.5" customHeight="1" x14ac:dyDescent="0.25">
      <c r="B578" s="102">
        <v>46111</v>
      </c>
      <c r="J578" s="102">
        <v>46111</v>
      </c>
    </row>
    <row r="579" spans="1:14" ht="31.5" customHeight="1" x14ac:dyDescent="0.25">
      <c r="B579" s="105">
        <v>46111</v>
      </c>
      <c r="J579" s="105">
        <v>46111</v>
      </c>
    </row>
    <row r="580" spans="1:14" ht="31.5" customHeight="1" x14ac:dyDescent="0.25">
      <c r="B580" s="102">
        <v>46111</v>
      </c>
      <c r="J580" s="102">
        <v>46111</v>
      </c>
    </row>
    <row r="581" spans="1:14" ht="31.5" customHeight="1" x14ac:dyDescent="0.25">
      <c r="B581" s="105">
        <v>46111</v>
      </c>
      <c r="J581" s="105">
        <v>46111</v>
      </c>
    </row>
    <row r="582" spans="1:14" ht="31.5" customHeight="1" x14ac:dyDescent="0.25">
      <c r="B582" s="102">
        <v>46111</v>
      </c>
      <c r="J582" s="102">
        <v>46111</v>
      </c>
    </row>
    <row r="583" spans="1:14" ht="31.5" customHeight="1" x14ac:dyDescent="0.25">
      <c r="B583" s="105">
        <v>46111</v>
      </c>
      <c r="J583" s="105">
        <v>46111</v>
      </c>
    </row>
    <row r="584" spans="1:14" ht="31.5" customHeight="1" x14ac:dyDescent="0.25">
      <c r="B584" s="102">
        <v>45996</v>
      </c>
      <c r="J584" s="102">
        <v>45996</v>
      </c>
    </row>
    <row r="585" spans="1:14" ht="31.5" customHeight="1" x14ac:dyDescent="0.25">
      <c r="B585" s="105">
        <v>45996</v>
      </c>
      <c r="J585" s="105">
        <v>45996</v>
      </c>
    </row>
    <row r="586" spans="1:14" ht="31.5" customHeight="1" x14ac:dyDescent="0.25">
      <c r="B586" s="102">
        <v>45996</v>
      </c>
      <c r="J586" s="102">
        <v>45996</v>
      </c>
    </row>
    <row r="587" spans="1:14" ht="31.5" customHeight="1" x14ac:dyDescent="0.25">
      <c r="B587" s="105">
        <v>44400</v>
      </c>
      <c r="J587" s="105">
        <v>44400</v>
      </c>
    </row>
    <row r="588" spans="1:14" ht="31.5" customHeight="1" x14ac:dyDescent="0.25">
      <c r="B588" s="102">
        <v>44400</v>
      </c>
      <c r="J588" s="102">
        <v>44400</v>
      </c>
    </row>
    <row r="589" spans="1:14" ht="31.5" customHeight="1" x14ac:dyDescent="0.25">
      <c r="B589" s="105">
        <v>44400</v>
      </c>
      <c r="J589" s="105">
        <v>44400</v>
      </c>
    </row>
    <row r="590" spans="1:14" ht="31.5" customHeight="1" x14ac:dyDescent="0.25">
      <c r="B590" s="102">
        <v>45742</v>
      </c>
      <c r="J590" s="102">
        <v>45742</v>
      </c>
    </row>
    <row r="591" spans="1:14" ht="31.5" customHeight="1" x14ac:dyDescent="0.25">
      <c r="B591" s="105">
        <v>45742</v>
      </c>
      <c r="J591" s="105">
        <v>45742</v>
      </c>
    </row>
    <row r="592" spans="1:14" ht="31.5" customHeight="1" x14ac:dyDescent="0.25">
      <c r="B592" s="102">
        <v>45742</v>
      </c>
      <c r="J592" s="102">
        <v>45742</v>
      </c>
    </row>
    <row r="593" spans="1:14" ht="31.5" customHeight="1" x14ac:dyDescent="0.25">
      <c r="B593" s="105">
        <v>45742</v>
      </c>
      <c r="J593" s="105">
        <v>45742</v>
      </c>
    </row>
    <row r="594" spans="1:14" ht="31.5" customHeight="1" x14ac:dyDescent="0.25">
      <c r="B594" s="102">
        <v>45742</v>
      </c>
      <c r="J594" s="102">
        <v>45742</v>
      </c>
    </row>
    <row r="595" spans="1:14" ht="31.5" customHeight="1" x14ac:dyDescent="0.25">
      <c r="B595" s="105">
        <v>45742</v>
      </c>
      <c r="J595" s="105">
        <v>45742</v>
      </c>
    </row>
    <row r="596" spans="1:14" ht="31.5" customHeight="1" x14ac:dyDescent="0.25">
      <c r="B596" s="102">
        <v>45742</v>
      </c>
      <c r="J596" s="102">
        <v>45742</v>
      </c>
    </row>
    <row r="597" spans="1:14" ht="31.5" customHeight="1" x14ac:dyDescent="0.25">
      <c r="B597" s="105">
        <v>45742</v>
      </c>
      <c r="J597" s="105">
        <v>45742</v>
      </c>
    </row>
    <row r="598" spans="1:14" ht="31.5" customHeight="1" x14ac:dyDescent="0.25">
      <c r="B598" s="102">
        <v>45742</v>
      </c>
      <c r="J598" s="102">
        <v>45742</v>
      </c>
    </row>
    <row r="599" spans="1:14" ht="31.5" customHeight="1" x14ac:dyDescent="0.25">
      <c r="B599" s="105">
        <v>45742</v>
      </c>
      <c r="J599" s="105">
        <v>45742</v>
      </c>
    </row>
    <row r="600" spans="1:14" ht="31.5" customHeight="1" x14ac:dyDescent="0.25">
      <c r="B600" s="102">
        <v>45742</v>
      </c>
      <c r="J600" s="102">
        <v>45742</v>
      </c>
    </row>
    <row r="601" spans="1:14" ht="31.5" customHeight="1" x14ac:dyDescent="0.25">
      <c r="B601" s="105">
        <v>45742</v>
      </c>
      <c r="J601" s="105">
        <v>45742</v>
      </c>
    </row>
    <row r="602" spans="1:14" ht="31.5" customHeight="1" x14ac:dyDescent="0.25">
      <c r="B602" s="102">
        <v>45742</v>
      </c>
      <c r="J602" s="102">
        <v>45742</v>
      </c>
    </row>
    <row r="603" spans="1:14" ht="31.5" customHeight="1" x14ac:dyDescent="0.25">
      <c r="B603" s="105">
        <v>45742</v>
      </c>
      <c r="J603" s="105">
        <v>45742</v>
      </c>
    </row>
    <row r="604" spans="1:14" ht="31.5" customHeight="1" x14ac:dyDescent="0.25">
      <c r="B604" s="102">
        <v>45742</v>
      </c>
      <c r="J604" s="102">
        <v>45742</v>
      </c>
    </row>
    <row r="605" spans="1:14" ht="31.5" customHeight="1" x14ac:dyDescent="0.25">
      <c r="B605" s="105">
        <v>44039</v>
      </c>
      <c r="J605" s="105">
        <v>44039</v>
      </c>
    </row>
    <row r="606" spans="1:14" ht="31.5" customHeight="1" x14ac:dyDescent="0.25">
      <c r="B606" s="102">
        <v>44039</v>
      </c>
      <c r="J606" s="102">
        <v>44400</v>
      </c>
    </row>
    <row r="607" spans="1:14" ht="31.5" customHeight="1" x14ac:dyDescent="0.25">
      <c r="B607" s="105">
        <v>44039</v>
      </c>
      <c r="J607" s="105">
        <v>44039</v>
      </c>
    </row>
    <row r="608" spans="1:14" ht="31.5" customHeight="1" x14ac:dyDescent="0.25">
      <c r="B608" s="102">
        <v>44039</v>
      </c>
      <c r="J608" s="102">
        <v>44400</v>
      </c>
    </row>
    <row r="609" spans="1:14" ht="31.5" customHeight="1" x14ac:dyDescent="0.25">
      <c r="B609" s="105">
        <v>44039</v>
      </c>
      <c r="J609" s="105">
        <v>44039</v>
      </c>
    </row>
    <row r="610" spans="1:14" ht="31.5" customHeight="1" x14ac:dyDescent="0.25">
      <c r="B610" s="102">
        <v>44039</v>
      </c>
      <c r="J610" s="102">
        <v>44039</v>
      </c>
    </row>
    <row r="611" spans="1:14" ht="31.5" customHeight="1" x14ac:dyDescent="0.25">
      <c r="B611" s="105">
        <v>44039</v>
      </c>
      <c r="J611" s="105">
        <v>44039</v>
      </c>
    </row>
    <row r="612" spans="1:14" ht="31.5" customHeight="1" x14ac:dyDescent="0.25">
      <c r="B612" s="102">
        <v>44039</v>
      </c>
      <c r="J612" s="102">
        <v>44039</v>
      </c>
    </row>
    <row r="613" spans="1:14" ht="31.5" customHeight="1" x14ac:dyDescent="0.25">
      <c r="B613" s="105">
        <v>44039</v>
      </c>
      <c r="J613" s="105">
        <v>44039</v>
      </c>
    </row>
    <row r="614" spans="1:14" ht="31.5" customHeight="1" x14ac:dyDescent="0.25">
      <c r="B614" s="102">
        <v>44039</v>
      </c>
      <c r="J614" s="102">
        <v>44039</v>
      </c>
    </row>
    <row r="615" spans="1:14" ht="31.5" customHeight="1" x14ac:dyDescent="0.25">
      <c r="B615" s="105">
        <v>45380</v>
      </c>
      <c r="J615" s="105">
        <v>45742</v>
      </c>
    </row>
    <row r="616" spans="1:14" ht="31.5" customHeight="1" x14ac:dyDescent="0.25">
      <c r="B616" s="102">
        <v>45380</v>
      </c>
      <c r="J616" s="102">
        <v>45742</v>
      </c>
    </row>
    <row r="617" spans="1:14" ht="31.5" customHeight="1" x14ac:dyDescent="0.25">
      <c r="B617" s="105">
        <v>45380</v>
      </c>
      <c r="J617" s="105">
        <v>45742</v>
      </c>
    </row>
    <row r="618" spans="1:14" ht="31.5" customHeight="1" x14ac:dyDescent="0.25">
      <c r="B618" s="102">
        <v>45380</v>
      </c>
      <c r="J618" s="102">
        <v>45742</v>
      </c>
    </row>
    <row r="619" spans="1:14" ht="31.5" customHeight="1" x14ac:dyDescent="0.25">
      <c r="B619" s="105">
        <v>45380</v>
      </c>
      <c r="J619" s="105">
        <v>45742</v>
      </c>
    </row>
    <row r="620" spans="1:14" ht="31.5" customHeight="1" x14ac:dyDescent="0.25">
      <c r="B620" s="102">
        <v>45380</v>
      </c>
      <c r="J620" s="102">
        <v>45742</v>
      </c>
    </row>
    <row r="621" spans="1:14" ht="31.5" customHeight="1" x14ac:dyDescent="0.25">
      <c r="B621" s="105">
        <v>45380</v>
      </c>
      <c r="J621" s="105">
        <v>45742</v>
      </c>
    </row>
    <row r="622" spans="1:14" ht="31.5" customHeight="1" x14ac:dyDescent="0.25">
      <c r="B622" s="102">
        <v>45380</v>
      </c>
      <c r="J622" s="102">
        <v>45742</v>
      </c>
    </row>
    <row r="623" spans="1:14" ht="31.5" customHeight="1" x14ac:dyDescent="0.25">
      <c r="B623" s="105">
        <v>45380</v>
      </c>
      <c r="J623" s="105">
        <v>45742</v>
      </c>
    </row>
    <row r="624" spans="1:14" ht="31.5" customHeight="1" x14ac:dyDescent="0.25">
      <c r="B624" s="102">
        <v>45380</v>
      </c>
      <c r="J624" s="102">
        <v>45742</v>
      </c>
    </row>
    <row r="625" spans="1:14" ht="31.5" customHeight="1" x14ac:dyDescent="0.25">
      <c r="B625" s="105">
        <v>45380</v>
      </c>
      <c r="J625" s="105">
        <v>45742</v>
      </c>
    </row>
    <row r="626" spans="1:14" ht="31.5" customHeight="1" x14ac:dyDescent="0.25">
      <c r="B626" s="102">
        <v>45380</v>
      </c>
      <c r="J626" s="102">
        <v>45742</v>
      </c>
    </row>
    <row r="627" spans="1:14" ht="31.5" customHeight="1" x14ac:dyDescent="0.25">
      <c r="B627" s="105">
        <v>46092</v>
      </c>
      <c r="J627" s="105">
        <v>46092</v>
      </c>
    </row>
    <row r="628" spans="1:14" ht="31.5" customHeight="1" x14ac:dyDescent="0.25">
      <c r="B628" s="102">
        <v>46092</v>
      </c>
      <c r="J628" s="102">
        <v>46092</v>
      </c>
    </row>
    <row r="629" spans="1:14" ht="31.5" customHeight="1" x14ac:dyDescent="0.25">
      <c r="B629" s="105">
        <v>46092</v>
      </c>
      <c r="J629" s="105">
        <v>46092</v>
      </c>
    </row>
    <row r="630" spans="1:14" ht="31.5" customHeight="1" x14ac:dyDescent="0.25">
      <c r="B630" s="102">
        <v>46092</v>
      </c>
      <c r="J630" s="102">
        <v>46092</v>
      </c>
    </row>
    <row r="631" spans="1:14" ht="31.5" customHeight="1" x14ac:dyDescent="0.25">
      <c r="B631" s="105">
        <v>46092</v>
      </c>
      <c r="J631" s="105">
        <v>46092</v>
      </c>
    </row>
    <row r="632" spans="1:14" ht="31.5" customHeight="1" x14ac:dyDescent="0.25">
      <c r="B632" s="102">
        <v>46111</v>
      </c>
      <c r="J632" s="102">
        <v>46111</v>
      </c>
    </row>
    <row r="633" spans="1:14" ht="31.5" customHeight="1" x14ac:dyDescent="0.25">
      <c r="B633" s="105">
        <v>46111</v>
      </c>
      <c r="J633" s="105">
        <v>46111</v>
      </c>
    </row>
    <row r="634" spans="1:14" ht="31.5" customHeight="1" x14ac:dyDescent="0.25">
      <c r="B634" s="102">
        <v>46111</v>
      </c>
      <c r="J634" s="102">
        <v>46111</v>
      </c>
    </row>
    <row r="635" spans="1:14" ht="31.5" customHeight="1" x14ac:dyDescent="0.25">
      <c r="B635" s="105">
        <v>45386</v>
      </c>
      <c r="J635" s="105">
        <v>45462</v>
      </c>
    </row>
    <row r="636" spans="1:14" ht="31.5" customHeight="1" x14ac:dyDescent="0.25">
      <c r="B636" s="102">
        <v>45386</v>
      </c>
      <c r="J636" s="102">
        <v>45462</v>
      </c>
    </row>
    <row r="637" spans="1:14" ht="31.5" customHeight="1" x14ac:dyDescent="0.25">
      <c r="B637" s="105">
        <v>44204</v>
      </c>
      <c r="J637" s="105">
        <v>44204</v>
      </c>
      <c r="M637" s="105">
        <v>45118</v>
      </c>
    </row>
    <row r="638" spans="1:14" ht="31.5" customHeight="1" x14ac:dyDescent="0.25">
      <c r="B638" s="102">
        <v>44204</v>
      </c>
      <c r="J638" s="102">
        <v>44204</v>
      </c>
      <c r="M638" s="102">
        <v>45118</v>
      </c>
    </row>
    <row r="639" spans="1:14" ht="31.5" customHeight="1" x14ac:dyDescent="0.25">
      <c r="B639" s="105">
        <v>44204</v>
      </c>
      <c r="J639" s="105">
        <v>44204</v>
      </c>
      <c r="M639" s="105">
        <v>45118</v>
      </c>
    </row>
    <row r="640" spans="1:14" ht="31.5" customHeight="1" x14ac:dyDescent="0.25">
      <c r="B640" s="102">
        <v>44204</v>
      </c>
      <c r="J640" s="102">
        <v>44204</v>
      </c>
    </row>
    <row r="641" spans="1:14" ht="31.5" customHeight="1" x14ac:dyDescent="0.25">
      <c r="B641" s="105">
        <v>44204</v>
      </c>
      <c r="J641" s="105">
        <v>44204</v>
      </c>
    </row>
    <row r="642" spans="1:14" ht="31.5" customHeight="1" x14ac:dyDescent="0.25">
      <c r="B642" s="102">
        <v>44204</v>
      </c>
      <c r="J642" s="102">
        <v>44204</v>
      </c>
    </row>
    <row r="643" spans="1:14" ht="31.5" customHeight="1" x14ac:dyDescent="0.25">
      <c r="B643" s="105">
        <v>44204</v>
      </c>
      <c r="J643" s="105">
        <v>44204</v>
      </c>
    </row>
    <row r="644" spans="1:14" ht="31.5" customHeight="1" x14ac:dyDescent="0.25">
      <c r="B644" s="102">
        <v>44204</v>
      </c>
      <c r="J644" s="102">
        <v>44204</v>
      </c>
    </row>
    <row r="645" spans="1:14" ht="31.5" customHeight="1" x14ac:dyDescent="0.25">
      <c r="B645" s="105">
        <v>44204</v>
      </c>
      <c r="J645" s="105">
        <v>44204</v>
      </c>
    </row>
    <row r="646" spans="1:14" ht="31.5" customHeight="1" x14ac:dyDescent="0.25">
      <c r="B646" s="102">
        <v>44204</v>
      </c>
      <c r="J646" s="102">
        <v>44204</v>
      </c>
    </row>
    <row r="647" spans="1:14" ht="31.5" customHeight="1" x14ac:dyDescent="0.25">
      <c r="B647" s="105">
        <v>44204</v>
      </c>
      <c r="J647" s="105">
        <v>44204</v>
      </c>
    </row>
    <row r="648" spans="1:14" ht="31.5" customHeight="1" x14ac:dyDescent="0.25">
      <c r="B648" s="102">
        <v>44204</v>
      </c>
      <c r="J648" s="102">
        <v>44204</v>
      </c>
    </row>
    <row r="649" spans="1:14" ht="31.5" customHeight="1" x14ac:dyDescent="0.25">
      <c r="B649" s="105">
        <v>44204</v>
      </c>
      <c r="J649" s="105">
        <v>44204</v>
      </c>
    </row>
    <row r="650" spans="1:14" ht="31.5" customHeight="1" x14ac:dyDescent="0.25">
      <c r="B650" s="102">
        <v>44204</v>
      </c>
      <c r="J650" s="102">
        <v>44204</v>
      </c>
    </row>
    <row r="651" spans="1:14" ht="31.5" customHeight="1" x14ac:dyDescent="0.25">
      <c r="B651" s="105">
        <v>44204</v>
      </c>
      <c r="J651" s="105">
        <v>44204</v>
      </c>
    </row>
    <row r="652" spans="1:14" ht="31.5" customHeight="1" x14ac:dyDescent="0.25">
      <c r="B652" s="102">
        <v>45398</v>
      </c>
      <c r="J652" s="102">
        <v>45714</v>
      </c>
    </row>
    <row r="653" spans="1:14" ht="31.5" customHeight="1" x14ac:dyDescent="0.25">
      <c r="B653" s="105">
        <v>45398</v>
      </c>
      <c r="J653" s="105">
        <v>45714</v>
      </c>
    </row>
    <row r="654" spans="1:14" ht="31.5" customHeight="1" x14ac:dyDescent="0.25">
      <c r="B654" s="102">
        <v>45398</v>
      </c>
      <c r="J654" s="102">
        <v>45714</v>
      </c>
    </row>
    <row r="655" spans="1:14" ht="31.5" customHeight="1" x14ac:dyDescent="0.25">
      <c r="B655" s="105">
        <v>45462</v>
      </c>
      <c r="J655" s="105">
        <v>45462</v>
      </c>
    </row>
    <row r="656" spans="1:14" ht="31.5" customHeight="1" x14ac:dyDescent="0.25">
      <c r="B656" s="102">
        <v>45462</v>
      </c>
      <c r="J656" s="102">
        <v>45462</v>
      </c>
    </row>
    <row r="657" spans="1:14" ht="31.5" customHeight="1" x14ac:dyDescent="0.25">
      <c r="B657" s="105">
        <v>45462</v>
      </c>
      <c r="J657" s="105">
        <v>45462</v>
      </c>
    </row>
    <row r="658" spans="1:14" ht="31.5" customHeight="1" x14ac:dyDescent="0.25">
      <c r="B658" s="102">
        <v>45618</v>
      </c>
      <c r="J658" s="102">
        <v>45618</v>
      </c>
    </row>
    <row r="659" spans="1:14" ht="31.5" customHeight="1" x14ac:dyDescent="0.25">
      <c r="B659" s="105">
        <v>45618</v>
      </c>
      <c r="J659" s="105">
        <v>45618</v>
      </c>
    </row>
    <row r="660" spans="1:14" ht="31.5" customHeight="1" x14ac:dyDescent="0.25">
      <c r="B660" s="102">
        <v>45618</v>
      </c>
      <c r="J660" s="102">
        <v>45618</v>
      </c>
    </row>
    <row r="661" spans="1:14" ht="31.5" customHeight="1" x14ac:dyDescent="0.25">
      <c r="B661" s="105">
        <v>45618</v>
      </c>
      <c r="J661" s="105">
        <v>45618</v>
      </c>
    </row>
    <row r="662" spans="1:14" ht="31.5" customHeight="1" x14ac:dyDescent="0.25">
      <c r="B662" s="102">
        <v>45618</v>
      </c>
      <c r="J662" s="102">
        <v>45618</v>
      </c>
    </row>
    <row r="663" spans="1:14" ht="31.5" customHeight="1" x14ac:dyDescent="0.25">
      <c r="B663" s="105">
        <v>45618</v>
      </c>
      <c r="J663" s="105">
        <v>45618</v>
      </c>
    </row>
    <row r="664" spans="1:14" ht="31.5" customHeight="1" x14ac:dyDescent="0.25">
      <c r="B664" s="102">
        <v>45618</v>
      </c>
      <c r="J664" s="102">
        <v>45618</v>
      </c>
    </row>
    <row r="665" spans="1:14" ht="31.5" customHeight="1" x14ac:dyDescent="0.25">
      <c r="B665" s="105">
        <v>45714</v>
      </c>
      <c r="J665" s="105">
        <v>45714</v>
      </c>
    </row>
    <row r="666" spans="1:14" ht="31.5" customHeight="1" x14ac:dyDescent="0.25">
      <c r="B666" s="102">
        <v>45714</v>
      </c>
      <c r="J666" s="102">
        <v>45714</v>
      </c>
    </row>
    <row r="667" spans="1:14" ht="31.5" customHeight="1" x14ac:dyDescent="0.25">
      <c r="B667" s="105">
        <v>45714</v>
      </c>
      <c r="J667" s="105">
        <v>45714</v>
      </c>
    </row>
    <row r="668" spans="1:14" ht="31.5" customHeight="1" x14ac:dyDescent="0.25">
      <c r="B668" s="102">
        <v>45714</v>
      </c>
      <c r="J668" s="102">
        <v>45714</v>
      </c>
    </row>
    <row r="669" spans="1:14" ht="31.5" customHeight="1" x14ac:dyDescent="0.25">
      <c r="B669" s="105">
        <v>45714</v>
      </c>
      <c r="J669" s="105">
        <v>45714</v>
      </c>
    </row>
    <row r="670" spans="1:14" ht="31.5" customHeight="1" x14ac:dyDescent="0.25">
      <c r="B670" s="102">
        <v>45714</v>
      </c>
      <c r="J670" s="102">
        <v>45714</v>
      </c>
    </row>
    <row r="671" spans="1:14" ht="31.5" customHeight="1" x14ac:dyDescent="0.25">
      <c r="B671" s="105">
        <v>45714</v>
      </c>
      <c r="J671" s="105">
        <v>45714</v>
      </c>
    </row>
  </sheetData>
  <sheetProtection sheet="1" formatCells="0" formatColumns="0" formatRows="0" sort="0" autoFilter="0"/>
  <autoFilter ref="A1:N671" xr:uid="{00000000-0009-0000-0000-000005000000}"/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1997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13" customWidth="1"/>
    <col min="2" max="2" width="12" customWidth="1"/>
    <col min="3" max="3" width="22" customWidth="1"/>
    <col min="4" max="4" width="11" customWidth="1"/>
    <col min="5" max="5" width="10" customWidth="1"/>
    <col min="6" max="6" width="20" customWidth="1"/>
    <col min="7" max="7" width="24" customWidth="1"/>
    <col min="8" max="8" width="34" customWidth="1"/>
    <col min="9" max="9" width="70" customWidth="1"/>
    <col min="10" max="10" width="13" customWidth="1"/>
    <col min="11" max="12" width="14" customWidth="1"/>
    <col min="13" max="13" width="60" customWidth="1"/>
  </cols>
  <sheetData>
    <row r="1" spans="1:13" ht="33.75" customHeight="1" x14ac:dyDescent="0.25"/>
    <row r="2" spans="1:13" ht="27.75" customHeight="1" x14ac:dyDescent="0.25">
      <c r="D2" s="102">
        <v>46007</v>
      </c>
    </row>
    <row r="3" spans="1:13" ht="27.75" customHeight="1" x14ac:dyDescent="0.25">
      <c r="D3" s="105">
        <v>44043</v>
      </c>
    </row>
    <row r="4" spans="1:13" ht="27.75" customHeight="1" x14ac:dyDescent="0.25">
      <c r="D4" s="102">
        <v>45163</v>
      </c>
    </row>
    <row r="5" spans="1:13" ht="27.75" customHeight="1" x14ac:dyDescent="0.25">
      <c r="D5" s="105">
        <v>45114</v>
      </c>
    </row>
    <row r="6" spans="1:13" ht="27.75" customHeight="1" x14ac:dyDescent="0.25">
      <c r="D6" s="102">
        <v>45131</v>
      </c>
    </row>
    <row r="7" spans="1:13" ht="27.75" customHeight="1" x14ac:dyDescent="0.25">
      <c r="D7" s="105">
        <v>45166</v>
      </c>
    </row>
    <row r="8" spans="1:13" ht="27.75" customHeight="1" x14ac:dyDescent="0.25">
      <c r="D8" s="102">
        <v>45191</v>
      </c>
    </row>
    <row r="9" spans="1:13" ht="27.75" customHeight="1" x14ac:dyDescent="0.25">
      <c r="D9" s="105">
        <v>45225</v>
      </c>
    </row>
    <row r="10" spans="1:13" ht="27.75" customHeight="1" x14ac:dyDescent="0.25">
      <c r="D10" s="102">
        <v>45236</v>
      </c>
    </row>
    <row r="11" spans="1:13" ht="27.75" customHeight="1" x14ac:dyDescent="0.25">
      <c r="D11" s="105">
        <v>45359</v>
      </c>
    </row>
    <row r="12" spans="1:13" ht="27.75" customHeight="1" x14ac:dyDescent="0.25">
      <c r="D12" s="102">
        <v>45359</v>
      </c>
    </row>
    <row r="13" spans="1:13" ht="27.75" customHeight="1" x14ac:dyDescent="0.25">
      <c r="D13" s="105">
        <v>45681</v>
      </c>
    </row>
    <row r="14" spans="1:13" ht="27.75" customHeight="1" x14ac:dyDescent="0.25">
      <c r="D14" s="102">
        <v>43844</v>
      </c>
    </row>
    <row r="15" spans="1:13" ht="27.75" customHeight="1" x14ac:dyDescent="0.25">
      <c r="D15" s="105">
        <v>44258</v>
      </c>
    </row>
    <row r="16" spans="1:13" ht="27.75" customHeight="1" x14ac:dyDescent="0.25">
      <c r="D16" s="102">
        <v>44281</v>
      </c>
    </row>
    <row r="17" spans="1:13" ht="27.75" customHeight="1" x14ac:dyDescent="0.25">
      <c r="D17" s="105">
        <v>44386</v>
      </c>
    </row>
    <row r="18" spans="1:13" ht="27.75" customHeight="1" x14ac:dyDescent="0.25">
      <c r="D18" s="102">
        <v>44398</v>
      </c>
    </row>
    <row r="19" spans="1:13" ht="27.75" customHeight="1" x14ac:dyDescent="0.25">
      <c r="D19" s="105">
        <v>44412</v>
      </c>
    </row>
    <row r="20" spans="1:13" ht="27.75" customHeight="1" x14ac:dyDescent="0.25">
      <c r="D20" s="102">
        <v>44768</v>
      </c>
    </row>
    <row r="21" spans="1:13" ht="27.75" customHeight="1" x14ac:dyDescent="0.25">
      <c r="D21" s="105">
        <v>45279</v>
      </c>
    </row>
    <row r="22" spans="1:13" ht="27.75" customHeight="1" x14ac:dyDescent="0.25">
      <c r="D22" s="102">
        <v>45076</v>
      </c>
    </row>
    <row r="23" spans="1:13" ht="27.75" customHeight="1" x14ac:dyDescent="0.25">
      <c r="D23" s="105">
        <v>45278</v>
      </c>
    </row>
    <row r="24" spans="1:13" ht="27.75" customHeight="1" x14ac:dyDescent="0.25">
      <c r="D24" s="102">
        <v>45329</v>
      </c>
    </row>
    <row r="25" spans="1:13" ht="27.75" customHeight="1" x14ac:dyDescent="0.25">
      <c r="D25" s="105">
        <v>44134</v>
      </c>
    </row>
    <row r="26" spans="1:13" ht="27.75" customHeight="1" x14ac:dyDescent="0.25">
      <c r="D26" s="102">
        <v>44204</v>
      </c>
    </row>
    <row r="27" spans="1:13" ht="27.75" customHeight="1" x14ac:dyDescent="0.25">
      <c r="D27" s="105">
        <v>44441</v>
      </c>
    </row>
    <row r="28" spans="1:13" ht="27.75" customHeight="1" x14ac:dyDescent="0.25">
      <c r="D28" s="102">
        <v>44482</v>
      </c>
    </row>
    <row r="29" spans="1:13" ht="27.75" customHeight="1" x14ac:dyDescent="0.25">
      <c r="D29" s="105">
        <v>44488</v>
      </c>
    </row>
    <row r="30" spans="1:13" ht="27.75" customHeight="1" x14ac:dyDescent="0.25">
      <c r="D30" s="102">
        <v>44631</v>
      </c>
    </row>
    <row r="31" spans="1:13" ht="27.75" customHeight="1" x14ac:dyDescent="0.25">
      <c r="D31" s="105">
        <v>44690</v>
      </c>
    </row>
    <row r="32" spans="1:13" ht="27.75" customHeight="1" x14ac:dyDescent="0.25">
      <c r="D32" s="102">
        <v>44872</v>
      </c>
    </row>
    <row r="33" spans="1:13" ht="27.75" customHeight="1" x14ac:dyDescent="0.25">
      <c r="D33" s="105">
        <v>45412</v>
      </c>
    </row>
    <row r="34" spans="1:13" ht="27.75" customHeight="1" x14ac:dyDescent="0.25">
      <c r="D34" s="102">
        <v>45643</v>
      </c>
    </row>
    <row r="35" spans="1:13" ht="27.75" customHeight="1" x14ac:dyDescent="0.25">
      <c r="D35" s="105">
        <v>45981</v>
      </c>
    </row>
    <row r="36" spans="1:13" ht="27.75" customHeight="1" x14ac:dyDescent="0.25">
      <c r="D36" s="102">
        <v>43578</v>
      </c>
    </row>
    <row r="37" spans="1:13" ht="27.75" customHeight="1" x14ac:dyDescent="0.25">
      <c r="D37" s="105">
        <v>43580</v>
      </c>
    </row>
    <row r="38" spans="1:13" ht="27.75" customHeight="1" x14ac:dyDescent="0.25">
      <c r="D38" s="102">
        <v>43588</v>
      </c>
    </row>
    <row r="39" spans="1:13" ht="27.75" customHeight="1" x14ac:dyDescent="0.25">
      <c r="D39" s="105">
        <v>43620</v>
      </c>
    </row>
    <row r="40" spans="1:13" ht="27.75" customHeight="1" x14ac:dyDescent="0.25">
      <c r="D40" s="102">
        <v>43633</v>
      </c>
    </row>
    <row r="41" spans="1:13" ht="27.75" customHeight="1" x14ac:dyDescent="0.25">
      <c r="D41" s="105">
        <v>43641</v>
      </c>
    </row>
    <row r="42" spans="1:13" ht="27.75" customHeight="1" x14ac:dyDescent="0.25">
      <c r="D42" s="102">
        <v>43705</v>
      </c>
    </row>
    <row r="43" spans="1:13" ht="27.75" customHeight="1" x14ac:dyDescent="0.25">
      <c r="D43" s="105">
        <v>43705</v>
      </c>
    </row>
    <row r="44" spans="1:13" ht="27.75" customHeight="1" x14ac:dyDescent="0.25">
      <c r="D44" s="102">
        <v>43705</v>
      </c>
    </row>
    <row r="45" spans="1:13" ht="27.75" customHeight="1" x14ac:dyDescent="0.25">
      <c r="D45" s="105">
        <v>43705</v>
      </c>
    </row>
    <row r="46" spans="1:13" ht="27.75" customHeight="1" x14ac:dyDescent="0.25">
      <c r="D46" s="102">
        <v>43705</v>
      </c>
    </row>
    <row r="47" spans="1:13" ht="27.75" customHeight="1" x14ac:dyDescent="0.25">
      <c r="D47" s="105">
        <v>43705</v>
      </c>
    </row>
    <row r="48" spans="1:13" ht="27.75" customHeight="1" x14ac:dyDescent="0.25">
      <c r="D48" s="102">
        <v>43705</v>
      </c>
    </row>
    <row r="49" spans="1:13" ht="27.75" customHeight="1" x14ac:dyDescent="0.25">
      <c r="D49" s="105">
        <v>43712</v>
      </c>
    </row>
    <row r="50" spans="1:13" ht="27.75" customHeight="1" x14ac:dyDescent="0.25">
      <c r="D50" s="102">
        <v>43719</v>
      </c>
    </row>
    <row r="51" spans="1:13" ht="27.75" customHeight="1" x14ac:dyDescent="0.25">
      <c r="D51" s="105">
        <v>43721</v>
      </c>
    </row>
    <row r="52" spans="1:13" ht="27.75" customHeight="1" x14ac:dyDescent="0.25">
      <c r="D52" s="102">
        <v>43724</v>
      </c>
    </row>
    <row r="53" spans="1:13" ht="27.75" customHeight="1" x14ac:dyDescent="0.25">
      <c r="D53" s="105">
        <v>43724</v>
      </c>
    </row>
    <row r="54" spans="1:13" ht="27.75" customHeight="1" x14ac:dyDescent="0.25">
      <c r="D54" s="102">
        <v>43734</v>
      </c>
    </row>
    <row r="55" spans="1:13" ht="27.75" customHeight="1" x14ac:dyDescent="0.25">
      <c r="D55" s="105">
        <v>43755</v>
      </c>
    </row>
    <row r="56" spans="1:13" ht="27.75" customHeight="1" x14ac:dyDescent="0.25">
      <c r="D56" s="102">
        <v>43781</v>
      </c>
    </row>
    <row r="57" spans="1:13" ht="27.75" customHeight="1" x14ac:dyDescent="0.25">
      <c r="D57" s="105">
        <v>43788</v>
      </c>
    </row>
    <row r="58" spans="1:13" ht="27.75" customHeight="1" x14ac:dyDescent="0.25">
      <c r="D58" s="102">
        <v>43791</v>
      </c>
    </row>
    <row r="59" spans="1:13" ht="27.75" customHeight="1" x14ac:dyDescent="0.25">
      <c r="D59" s="105">
        <v>43810</v>
      </c>
    </row>
    <row r="60" spans="1:13" ht="27.75" customHeight="1" x14ac:dyDescent="0.25">
      <c r="D60" s="102">
        <v>43816</v>
      </c>
    </row>
    <row r="61" spans="1:13" ht="27.75" customHeight="1" x14ac:dyDescent="0.25">
      <c r="D61" s="105">
        <v>43839</v>
      </c>
    </row>
    <row r="62" spans="1:13" ht="27.75" customHeight="1" x14ac:dyDescent="0.25">
      <c r="D62" s="102">
        <v>43867</v>
      </c>
    </row>
    <row r="63" spans="1:13" ht="27.75" customHeight="1" x14ac:dyDescent="0.25">
      <c r="D63" s="105">
        <v>43875</v>
      </c>
    </row>
    <row r="64" spans="1:13" ht="27.75" customHeight="1" x14ac:dyDescent="0.25">
      <c r="D64" s="102">
        <v>43885</v>
      </c>
    </row>
    <row r="65" spans="1:13" ht="27.75" customHeight="1" x14ac:dyDescent="0.25">
      <c r="D65" s="105">
        <v>43893</v>
      </c>
    </row>
    <row r="66" spans="1:13" ht="27.75" customHeight="1" x14ac:dyDescent="0.25">
      <c r="D66" s="102">
        <v>43895</v>
      </c>
    </row>
    <row r="67" spans="1:13" ht="27.75" customHeight="1" x14ac:dyDescent="0.25">
      <c r="D67" s="105">
        <v>43906</v>
      </c>
    </row>
    <row r="68" spans="1:13" ht="27.75" customHeight="1" x14ac:dyDescent="0.25">
      <c r="D68" s="102">
        <v>43907</v>
      </c>
    </row>
    <row r="69" spans="1:13" ht="27.75" customHeight="1" x14ac:dyDescent="0.25">
      <c r="D69" s="105">
        <v>43946</v>
      </c>
    </row>
    <row r="70" spans="1:13" ht="27.75" customHeight="1" x14ac:dyDescent="0.25">
      <c r="D70" s="102">
        <v>43946</v>
      </c>
    </row>
    <row r="71" spans="1:13" ht="27.75" customHeight="1" x14ac:dyDescent="0.25">
      <c r="D71" s="105">
        <v>43946</v>
      </c>
    </row>
    <row r="72" spans="1:13" ht="27.75" customHeight="1" x14ac:dyDescent="0.25">
      <c r="D72" s="102">
        <v>43973</v>
      </c>
    </row>
    <row r="73" spans="1:13" ht="27.75" customHeight="1" x14ac:dyDescent="0.25">
      <c r="D73" s="105">
        <v>43973</v>
      </c>
    </row>
    <row r="74" spans="1:13" ht="27.75" customHeight="1" x14ac:dyDescent="0.25">
      <c r="D74" s="102">
        <v>43993</v>
      </c>
    </row>
    <row r="75" spans="1:13" ht="27.75" customHeight="1" x14ac:dyDescent="0.25">
      <c r="D75" s="105">
        <v>43997</v>
      </c>
    </row>
    <row r="76" spans="1:13" ht="27.75" customHeight="1" x14ac:dyDescent="0.25">
      <c r="D76" s="102">
        <v>44012</v>
      </c>
    </row>
    <row r="77" spans="1:13" ht="27.75" customHeight="1" x14ac:dyDescent="0.25">
      <c r="D77" s="105">
        <v>44020</v>
      </c>
    </row>
    <row r="78" spans="1:13" ht="27.75" customHeight="1" x14ac:dyDescent="0.25">
      <c r="D78" s="102">
        <v>44022</v>
      </c>
    </row>
    <row r="79" spans="1:13" ht="27.75" customHeight="1" x14ac:dyDescent="0.25">
      <c r="D79" s="105">
        <v>44029</v>
      </c>
    </row>
    <row r="80" spans="1:13" ht="27.75" customHeight="1" x14ac:dyDescent="0.25">
      <c r="D80" s="102">
        <v>44029</v>
      </c>
    </row>
    <row r="81" spans="1:13" ht="27.75" customHeight="1" x14ac:dyDescent="0.25">
      <c r="D81" s="105">
        <v>44062</v>
      </c>
    </row>
    <row r="82" spans="1:13" ht="27.75" customHeight="1" x14ac:dyDescent="0.25">
      <c r="D82" s="102">
        <v>44079</v>
      </c>
    </row>
    <row r="83" spans="1:13" ht="27.75" customHeight="1" x14ac:dyDescent="0.25">
      <c r="D83" s="105">
        <v>44083</v>
      </c>
    </row>
    <row r="84" spans="1:13" ht="27.75" customHeight="1" x14ac:dyDescent="0.25">
      <c r="D84" s="102">
        <v>44085</v>
      </c>
    </row>
    <row r="85" spans="1:13" ht="27.75" customHeight="1" x14ac:dyDescent="0.25">
      <c r="D85" s="105">
        <v>44095</v>
      </c>
    </row>
    <row r="86" spans="1:13" ht="27.75" customHeight="1" x14ac:dyDescent="0.25">
      <c r="D86" s="102">
        <v>44099</v>
      </c>
    </row>
    <row r="87" spans="1:13" ht="27.75" customHeight="1" x14ac:dyDescent="0.25">
      <c r="D87" s="105">
        <v>44119</v>
      </c>
    </row>
    <row r="88" spans="1:13" ht="27.75" customHeight="1" x14ac:dyDescent="0.25">
      <c r="D88" s="102">
        <v>44133</v>
      </c>
    </row>
    <row r="89" spans="1:13" ht="27.75" customHeight="1" x14ac:dyDescent="0.25">
      <c r="D89" s="105">
        <v>44134</v>
      </c>
    </row>
    <row r="90" spans="1:13" ht="27.75" customHeight="1" x14ac:dyDescent="0.25">
      <c r="D90" s="102">
        <v>44134</v>
      </c>
    </row>
    <row r="91" spans="1:13" ht="27.75" customHeight="1" x14ac:dyDescent="0.25">
      <c r="D91" s="105">
        <v>44134</v>
      </c>
    </row>
    <row r="92" spans="1:13" ht="27.75" customHeight="1" x14ac:dyDescent="0.25">
      <c r="D92" s="102">
        <v>44137</v>
      </c>
    </row>
    <row r="93" spans="1:13" ht="27.75" customHeight="1" x14ac:dyDescent="0.25">
      <c r="D93" s="105">
        <v>44137</v>
      </c>
    </row>
    <row r="94" spans="1:13" ht="27.75" customHeight="1" x14ac:dyDescent="0.25">
      <c r="D94" s="102">
        <v>44138</v>
      </c>
    </row>
    <row r="95" spans="1:13" ht="27.75" customHeight="1" x14ac:dyDescent="0.25">
      <c r="D95" s="105">
        <v>44144</v>
      </c>
    </row>
    <row r="96" spans="1:13" ht="27.75" customHeight="1" x14ac:dyDescent="0.25">
      <c r="D96" s="102">
        <v>44144</v>
      </c>
    </row>
    <row r="97" spans="1:13" ht="27.75" customHeight="1" x14ac:dyDescent="0.25">
      <c r="D97" s="105">
        <v>44144</v>
      </c>
    </row>
    <row r="98" spans="1:13" ht="27.75" customHeight="1" x14ac:dyDescent="0.25">
      <c r="D98" s="102">
        <v>44148</v>
      </c>
    </row>
    <row r="99" spans="1:13" ht="27.75" customHeight="1" x14ac:dyDescent="0.25">
      <c r="D99" s="105">
        <v>44153</v>
      </c>
    </row>
    <row r="100" spans="1:13" ht="27.75" customHeight="1" x14ac:dyDescent="0.25">
      <c r="D100" s="102">
        <v>44161</v>
      </c>
    </row>
    <row r="101" spans="1:13" ht="27.75" customHeight="1" x14ac:dyDescent="0.25">
      <c r="D101" s="105">
        <v>44210</v>
      </c>
    </row>
    <row r="102" spans="1:13" ht="27.75" customHeight="1" x14ac:dyDescent="0.25">
      <c r="D102" s="102">
        <v>44210</v>
      </c>
    </row>
    <row r="103" spans="1:13" ht="27.75" customHeight="1" x14ac:dyDescent="0.25">
      <c r="D103" s="105">
        <v>44216</v>
      </c>
    </row>
    <row r="104" spans="1:13" ht="27.75" customHeight="1" x14ac:dyDescent="0.25">
      <c r="D104" s="102">
        <v>44216</v>
      </c>
    </row>
    <row r="105" spans="1:13" ht="27.75" customHeight="1" x14ac:dyDescent="0.25">
      <c r="D105" s="105">
        <v>44238</v>
      </c>
    </row>
    <row r="106" spans="1:13" ht="27.75" customHeight="1" x14ac:dyDescent="0.25">
      <c r="D106" s="102">
        <v>44263</v>
      </c>
    </row>
    <row r="107" spans="1:13" ht="27.75" customHeight="1" x14ac:dyDescent="0.25">
      <c r="D107" s="105">
        <v>44263</v>
      </c>
    </row>
    <row r="108" spans="1:13" ht="27.75" customHeight="1" x14ac:dyDescent="0.25">
      <c r="D108" s="102">
        <v>44265</v>
      </c>
    </row>
    <row r="109" spans="1:13" ht="27.75" customHeight="1" x14ac:dyDescent="0.25">
      <c r="D109" s="105">
        <v>44272</v>
      </c>
    </row>
    <row r="110" spans="1:13" ht="27.75" customHeight="1" x14ac:dyDescent="0.25">
      <c r="D110" s="102">
        <v>44323</v>
      </c>
    </row>
    <row r="111" spans="1:13" ht="27.75" customHeight="1" x14ac:dyDescent="0.25">
      <c r="D111" s="105">
        <v>44326</v>
      </c>
    </row>
    <row r="112" spans="1:13" ht="27.75" customHeight="1" x14ac:dyDescent="0.25">
      <c r="D112" s="102">
        <v>44326</v>
      </c>
    </row>
    <row r="113" spans="1:13" ht="27.75" customHeight="1" x14ac:dyDescent="0.25">
      <c r="D113" s="105">
        <v>44326</v>
      </c>
    </row>
    <row r="114" spans="1:13" ht="27.75" customHeight="1" x14ac:dyDescent="0.25">
      <c r="D114" s="102">
        <v>44355</v>
      </c>
    </row>
    <row r="115" spans="1:13" ht="27.75" customHeight="1" x14ac:dyDescent="0.25">
      <c r="D115" s="105">
        <v>44363</v>
      </c>
    </row>
    <row r="116" spans="1:13" ht="27.75" customHeight="1" x14ac:dyDescent="0.25">
      <c r="D116" s="102">
        <v>44363</v>
      </c>
    </row>
    <row r="117" spans="1:13" ht="27.75" customHeight="1" x14ac:dyDescent="0.25">
      <c r="D117" s="105">
        <v>44363</v>
      </c>
    </row>
    <row r="118" spans="1:13" ht="27.75" customHeight="1" x14ac:dyDescent="0.25">
      <c r="D118" s="102">
        <v>44397</v>
      </c>
    </row>
    <row r="119" spans="1:13" ht="27.75" customHeight="1" x14ac:dyDescent="0.25">
      <c r="D119" s="105">
        <v>44412</v>
      </c>
    </row>
    <row r="120" spans="1:13" ht="27.75" customHeight="1" x14ac:dyDescent="0.25">
      <c r="D120" s="102">
        <v>44441</v>
      </c>
    </row>
    <row r="121" spans="1:13" ht="27.75" customHeight="1" x14ac:dyDescent="0.25">
      <c r="D121" s="105">
        <v>44441</v>
      </c>
    </row>
    <row r="122" spans="1:13" ht="27.75" customHeight="1" x14ac:dyDescent="0.25">
      <c r="D122" s="102">
        <v>44441</v>
      </c>
    </row>
    <row r="123" spans="1:13" ht="27.75" customHeight="1" x14ac:dyDescent="0.25">
      <c r="D123" s="105">
        <v>44467</v>
      </c>
    </row>
    <row r="124" spans="1:13" ht="27.75" customHeight="1" x14ac:dyDescent="0.25">
      <c r="D124" s="102">
        <v>44467</v>
      </c>
    </row>
    <row r="125" spans="1:13" ht="27.75" customHeight="1" x14ac:dyDescent="0.25">
      <c r="D125" s="105">
        <v>44501</v>
      </c>
    </row>
    <row r="126" spans="1:13" ht="27.75" customHeight="1" x14ac:dyDescent="0.25">
      <c r="D126" s="102">
        <v>44532</v>
      </c>
    </row>
    <row r="127" spans="1:13" ht="27.75" customHeight="1" x14ac:dyDescent="0.25">
      <c r="D127" s="105">
        <v>44532</v>
      </c>
    </row>
    <row r="128" spans="1:13" ht="27.75" customHeight="1" x14ac:dyDescent="0.25">
      <c r="D128" s="102">
        <v>44537</v>
      </c>
    </row>
    <row r="129" spans="1:13" ht="27.75" customHeight="1" x14ac:dyDescent="0.25">
      <c r="D129" s="105">
        <v>44537</v>
      </c>
    </row>
    <row r="130" spans="1:13" ht="27.75" customHeight="1" x14ac:dyDescent="0.25">
      <c r="D130" s="102">
        <v>44616</v>
      </c>
    </row>
    <row r="131" spans="1:13" ht="27.75" customHeight="1" x14ac:dyDescent="0.25">
      <c r="D131" s="105">
        <v>44623</v>
      </c>
    </row>
    <row r="132" spans="1:13" ht="27.75" customHeight="1" x14ac:dyDescent="0.25">
      <c r="D132" s="102">
        <v>44644</v>
      </c>
    </row>
    <row r="133" spans="1:13" ht="27.75" customHeight="1" x14ac:dyDescent="0.25">
      <c r="D133" s="105">
        <v>44663</v>
      </c>
    </row>
    <row r="134" spans="1:13" ht="27.75" customHeight="1" x14ac:dyDescent="0.25">
      <c r="D134" s="102">
        <v>44663</v>
      </c>
    </row>
    <row r="135" spans="1:13" ht="27.75" customHeight="1" x14ac:dyDescent="0.25">
      <c r="D135" s="105">
        <v>44664</v>
      </c>
    </row>
    <row r="136" spans="1:13" ht="27.75" customHeight="1" x14ac:dyDescent="0.25">
      <c r="D136" s="102">
        <v>44678</v>
      </c>
    </row>
    <row r="137" spans="1:13" ht="27.75" customHeight="1" x14ac:dyDescent="0.25">
      <c r="D137" s="105">
        <v>44690</v>
      </c>
    </row>
    <row r="138" spans="1:13" ht="27.75" customHeight="1" x14ac:dyDescent="0.25">
      <c r="D138" s="102">
        <v>44733</v>
      </c>
    </row>
    <row r="139" spans="1:13" ht="27.75" customHeight="1" x14ac:dyDescent="0.25">
      <c r="D139" s="105">
        <v>44735</v>
      </c>
    </row>
    <row r="140" spans="1:13" ht="27.75" customHeight="1" x14ac:dyDescent="0.25">
      <c r="D140" s="102">
        <v>44753</v>
      </c>
    </row>
    <row r="141" spans="1:13" ht="27.75" customHeight="1" x14ac:dyDescent="0.25">
      <c r="D141" s="105">
        <v>44767</v>
      </c>
    </row>
    <row r="142" spans="1:13" ht="27.75" customHeight="1" x14ac:dyDescent="0.25">
      <c r="D142" s="102">
        <v>44768</v>
      </c>
    </row>
    <row r="143" spans="1:13" ht="27.75" customHeight="1" x14ac:dyDescent="0.25">
      <c r="D143" s="105">
        <v>44768</v>
      </c>
    </row>
    <row r="144" spans="1:13" ht="27.75" customHeight="1" x14ac:dyDescent="0.25">
      <c r="D144" s="102">
        <v>44768</v>
      </c>
    </row>
    <row r="145" spans="1:13" ht="27.75" customHeight="1" x14ac:dyDescent="0.25">
      <c r="D145" s="105">
        <v>44768</v>
      </c>
    </row>
    <row r="146" spans="1:13" ht="27.75" customHeight="1" x14ac:dyDescent="0.25">
      <c r="D146" s="102">
        <v>44795</v>
      </c>
    </row>
    <row r="147" spans="1:13" ht="27.75" customHeight="1" x14ac:dyDescent="0.25">
      <c r="D147" s="105">
        <v>44802</v>
      </c>
    </row>
    <row r="148" spans="1:13" ht="27.75" customHeight="1" x14ac:dyDescent="0.25">
      <c r="D148" s="102">
        <v>44802</v>
      </c>
    </row>
    <row r="149" spans="1:13" ht="27.75" customHeight="1" x14ac:dyDescent="0.25">
      <c r="D149" s="105">
        <v>44802</v>
      </c>
    </row>
    <row r="150" spans="1:13" ht="27.75" customHeight="1" x14ac:dyDescent="0.25">
      <c r="D150" s="102">
        <v>44802</v>
      </c>
    </row>
    <row r="151" spans="1:13" ht="27.75" customHeight="1" x14ac:dyDescent="0.25">
      <c r="D151" s="105">
        <v>44802</v>
      </c>
    </row>
    <row r="152" spans="1:13" ht="27.75" customHeight="1" x14ac:dyDescent="0.25">
      <c r="D152" s="102">
        <v>44802</v>
      </c>
    </row>
    <row r="153" spans="1:13" ht="27.75" customHeight="1" x14ac:dyDescent="0.25">
      <c r="D153" s="105">
        <v>44804</v>
      </c>
    </row>
    <row r="154" spans="1:13" ht="27.75" customHeight="1" x14ac:dyDescent="0.25">
      <c r="D154" s="102">
        <v>44804</v>
      </c>
    </row>
    <row r="155" spans="1:13" ht="27.75" customHeight="1" x14ac:dyDescent="0.25">
      <c r="D155" s="105">
        <v>44804</v>
      </c>
    </row>
    <row r="156" spans="1:13" ht="27.75" customHeight="1" x14ac:dyDescent="0.25">
      <c r="D156" s="102">
        <v>44826</v>
      </c>
    </row>
    <row r="157" spans="1:13" ht="27.75" customHeight="1" x14ac:dyDescent="0.25">
      <c r="D157" s="105">
        <v>44826</v>
      </c>
    </row>
    <row r="158" spans="1:13" ht="27.75" customHeight="1" x14ac:dyDescent="0.25">
      <c r="D158" s="102">
        <v>44827</v>
      </c>
    </row>
    <row r="159" spans="1:13" ht="27.75" customHeight="1" x14ac:dyDescent="0.25">
      <c r="D159" s="105">
        <v>44830</v>
      </c>
    </row>
    <row r="160" spans="1:13" ht="27.75" customHeight="1" x14ac:dyDescent="0.25">
      <c r="D160" s="102">
        <v>44860</v>
      </c>
    </row>
    <row r="161" spans="1:13" ht="27.75" customHeight="1" x14ac:dyDescent="0.25">
      <c r="D161" s="105">
        <v>44895</v>
      </c>
    </row>
    <row r="162" spans="1:13" ht="27.75" customHeight="1" x14ac:dyDescent="0.25">
      <c r="D162" s="102">
        <v>44895</v>
      </c>
    </row>
    <row r="163" spans="1:13" ht="27.75" customHeight="1" x14ac:dyDescent="0.25">
      <c r="D163" s="105">
        <v>44895</v>
      </c>
    </row>
    <row r="164" spans="1:13" ht="27.75" customHeight="1" x14ac:dyDescent="0.25">
      <c r="D164" s="102">
        <v>44895</v>
      </c>
    </row>
    <row r="165" spans="1:13" ht="27.75" customHeight="1" x14ac:dyDescent="0.25">
      <c r="D165" s="105">
        <v>44895</v>
      </c>
    </row>
    <row r="166" spans="1:13" ht="27.75" customHeight="1" x14ac:dyDescent="0.25">
      <c r="D166" s="102">
        <v>44900</v>
      </c>
    </row>
    <row r="167" spans="1:13" ht="27.75" customHeight="1" x14ac:dyDescent="0.25">
      <c r="D167" s="105">
        <v>44901</v>
      </c>
    </row>
    <row r="168" spans="1:13" ht="27.75" customHeight="1" x14ac:dyDescent="0.25">
      <c r="D168" s="102">
        <v>44902</v>
      </c>
    </row>
    <row r="169" spans="1:13" ht="27.75" customHeight="1" x14ac:dyDescent="0.25">
      <c r="D169" s="105">
        <v>44902</v>
      </c>
    </row>
    <row r="170" spans="1:13" ht="27.75" customHeight="1" x14ac:dyDescent="0.25">
      <c r="D170" s="102">
        <v>44922</v>
      </c>
    </row>
    <row r="171" spans="1:13" ht="27.75" customHeight="1" x14ac:dyDescent="0.25">
      <c r="D171" s="105">
        <v>44922</v>
      </c>
    </row>
    <row r="172" spans="1:13" ht="27.75" customHeight="1" x14ac:dyDescent="0.25">
      <c r="D172" s="102">
        <v>44926</v>
      </c>
    </row>
    <row r="173" spans="1:13" ht="27.75" customHeight="1" x14ac:dyDescent="0.25">
      <c r="D173" s="105">
        <v>44926</v>
      </c>
    </row>
    <row r="174" spans="1:13" ht="27.75" customHeight="1" x14ac:dyDescent="0.25">
      <c r="D174" s="102">
        <v>44943</v>
      </c>
    </row>
    <row r="175" spans="1:13" ht="27.75" customHeight="1" x14ac:dyDescent="0.25">
      <c r="D175" s="105">
        <v>44943</v>
      </c>
    </row>
    <row r="176" spans="1:13" ht="27.75" customHeight="1" x14ac:dyDescent="0.25">
      <c r="D176" s="102">
        <v>44950</v>
      </c>
    </row>
    <row r="177" spans="1:13" ht="27.75" customHeight="1" x14ac:dyDescent="0.25">
      <c r="D177" s="105">
        <v>44950</v>
      </c>
    </row>
    <row r="178" spans="1:13" ht="27.75" customHeight="1" x14ac:dyDescent="0.25">
      <c r="D178" s="102">
        <v>44954</v>
      </c>
    </row>
    <row r="179" spans="1:13" ht="27.75" customHeight="1" x14ac:dyDescent="0.25">
      <c r="D179" s="105">
        <v>44970</v>
      </c>
    </row>
    <row r="180" spans="1:13" ht="27.75" customHeight="1" x14ac:dyDescent="0.25">
      <c r="D180" s="102">
        <v>44970</v>
      </c>
    </row>
    <row r="181" spans="1:13" ht="27.75" customHeight="1" x14ac:dyDescent="0.25">
      <c r="D181" s="105">
        <v>44970</v>
      </c>
    </row>
    <row r="182" spans="1:13" ht="27.75" customHeight="1" x14ac:dyDescent="0.25">
      <c r="D182" s="102">
        <v>44970</v>
      </c>
    </row>
    <row r="183" spans="1:13" ht="27.75" customHeight="1" x14ac:dyDescent="0.25">
      <c r="D183" s="105">
        <v>44970</v>
      </c>
    </row>
    <row r="184" spans="1:13" ht="27.75" customHeight="1" x14ac:dyDescent="0.25">
      <c r="D184" s="102">
        <v>44984</v>
      </c>
    </row>
    <row r="185" spans="1:13" ht="27.75" customHeight="1" x14ac:dyDescent="0.25">
      <c r="D185" s="105">
        <v>44985</v>
      </c>
    </row>
    <row r="186" spans="1:13" ht="27.75" customHeight="1" x14ac:dyDescent="0.25">
      <c r="D186" s="102">
        <v>45040</v>
      </c>
    </row>
    <row r="187" spans="1:13" ht="27.75" customHeight="1" x14ac:dyDescent="0.25">
      <c r="D187" s="105">
        <v>45044</v>
      </c>
    </row>
    <row r="188" spans="1:13" ht="27.75" customHeight="1" x14ac:dyDescent="0.25">
      <c r="D188" s="102">
        <v>45044</v>
      </c>
    </row>
    <row r="189" spans="1:13" ht="27.75" customHeight="1" x14ac:dyDescent="0.25">
      <c r="D189" s="105">
        <v>45050</v>
      </c>
    </row>
    <row r="190" spans="1:13" ht="27.75" customHeight="1" x14ac:dyDescent="0.25">
      <c r="D190" s="102">
        <v>45068</v>
      </c>
    </row>
    <row r="191" spans="1:13" ht="27.75" customHeight="1" x14ac:dyDescent="0.25">
      <c r="D191" s="105">
        <v>45071</v>
      </c>
    </row>
    <row r="192" spans="1:13" ht="27.75" customHeight="1" x14ac:dyDescent="0.25">
      <c r="D192" s="102">
        <v>45071</v>
      </c>
    </row>
    <row r="193" spans="1:13" ht="27.75" customHeight="1" x14ac:dyDescent="0.25">
      <c r="D193" s="105">
        <v>45071</v>
      </c>
    </row>
    <row r="194" spans="1:13" ht="27.75" customHeight="1" x14ac:dyDescent="0.25">
      <c r="D194" s="102">
        <v>45071</v>
      </c>
    </row>
    <row r="195" spans="1:13" ht="27.75" customHeight="1" x14ac:dyDescent="0.25">
      <c r="D195" s="105">
        <v>45072</v>
      </c>
    </row>
    <row r="196" spans="1:13" ht="27.75" customHeight="1" x14ac:dyDescent="0.25">
      <c r="D196" s="102">
        <v>45082</v>
      </c>
    </row>
    <row r="197" spans="1:13" ht="27.75" customHeight="1" x14ac:dyDescent="0.25">
      <c r="D197" s="105">
        <v>45082</v>
      </c>
    </row>
    <row r="198" spans="1:13" ht="27.75" customHeight="1" x14ac:dyDescent="0.25">
      <c r="D198" s="102">
        <v>45083</v>
      </c>
    </row>
    <row r="199" spans="1:13" ht="27.75" customHeight="1" x14ac:dyDescent="0.25">
      <c r="D199" s="105">
        <v>45086</v>
      </c>
    </row>
    <row r="200" spans="1:13" ht="27.75" customHeight="1" x14ac:dyDescent="0.25">
      <c r="D200" s="102">
        <v>45090</v>
      </c>
    </row>
    <row r="201" spans="1:13" ht="27.75" customHeight="1" x14ac:dyDescent="0.25">
      <c r="D201" s="105">
        <v>45090</v>
      </c>
    </row>
    <row r="202" spans="1:13" ht="27.75" customHeight="1" x14ac:dyDescent="0.25">
      <c r="D202" s="102">
        <v>45098</v>
      </c>
    </row>
    <row r="203" spans="1:13" ht="27.75" customHeight="1" x14ac:dyDescent="0.25">
      <c r="D203" s="105">
        <v>45104</v>
      </c>
    </row>
    <row r="204" spans="1:13" ht="27.75" customHeight="1" x14ac:dyDescent="0.25">
      <c r="D204" s="102">
        <v>45110</v>
      </c>
    </row>
    <row r="205" spans="1:13" ht="27.75" customHeight="1" x14ac:dyDescent="0.25">
      <c r="D205" s="105">
        <v>45110</v>
      </c>
    </row>
    <row r="206" spans="1:13" ht="27.75" customHeight="1" x14ac:dyDescent="0.25">
      <c r="D206" s="102">
        <v>45111</v>
      </c>
    </row>
    <row r="207" spans="1:13" ht="27.75" customHeight="1" x14ac:dyDescent="0.25">
      <c r="D207" s="105">
        <v>45111</v>
      </c>
    </row>
    <row r="208" spans="1:13" ht="27.75" customHeight="1" x14ac:dyDescent="0.25">
      <c r="D208" s="102">
        <v>45114</v>
      </c>
    </row>
    <row r="209" spans="1:13" ht="27.75" customHeight="1" x14ac:dyDescent="0.25">
      <c r="D209" s="105">
        <v>45114</v>
      </c>
    </row>
    <row r="210" spans="1:13" ht="27.75" customHeight="1" x14ac:dyDescent="0.25">
      <c r="D210" s="102">
        <v>45119</v>
      </c>
    </row>
    <row r="211" spans="1:13" ht="27.75" customHeight="1" x14ac:dyDescent="0.25">
      <c r="D211" s="105">
        <v>45119</v>
      </c>
    </row>
    <row r="212" spans="1:13" ht="27.75" customHeight="1" x14ac:dyDescent="0.25">
      <c r="D212" s="102">
        <v>45119</v>
      </c>
    </row>
    <row r="213" spans="1:13" ht="27.75" customHeight="1" x14ac:dyDescent="0.25">
      <c r="D213" s="105">
        <v>45119</v>
      </c>
    </row>
    <row r="214" spans="1:13" ht="27.75" customHeight="1" x14ac:dyDescent="0.25">
      <c r="D214" s="102">
        <v>45145</v>
      </c>
    </row>
    <row r="215" spans="1:13" ht="27.75" customHeight="1" x14ac:dyDescent="0.25">
      <c r="D215" s="105">
        <v>45148</v>
      </c>
    </row>
    <row r="216" spans="1:13" ht="27.75" customHeight="1" x14ac:dyDescent="0.25">
      <c r="D216" s="102">
        <v>45148</v>
      </c>
    </row>
    <row r="217" spans="1:13" ht="27.75" customHeight="1" x14ac:dyDescent="0.25">
      <c r="D217" s="105">
        <v>45148</v>
      </c>
    </row>
    <row r="218" spans="1:13" ht="27.75" customHeight="1" x14ac:dyDescent="0.25">
      <c r="D218" s="102">
        <v>45148</v>
      </c>
    </row>
    <row r="219" spans="1:13" ht="27.75" customHeight="1" x14ac:dyDescent="0.25">
      <c r="D219" s="105">
        <v>45149</v>
      </c>
    </row>
    <row r="220" spans="1:13" ht="27.75" customHeight="1" x14ac:dyDescent="0.25">
      <c r="D220" s="102">
        <v>45154</v>
      </c>
    </row>
    <row r="221" spans="1:13" ht="27.75" customHeight="1" x14ac:dyDescent="0.25">
      <c r="D221" s="105">
        <v>45168</v>
      </c>
    </row>
    <row r="222" spans="1:13" ht="27.75" customHeight="1" x14ac:dyDescent="0.25">
      <c r="D222" s="102">
        <v>45168</v>
      </c>
    </row>
    <row r="223" spans="1:13" ht="27.75" customHeight="1" x14ac:dyDescent="0.25">
      <c r="D223" s="105">
        <v>45169</v>
      </c>
    </row>
    <row r="224" spans="1:13" ht="27.75" customHeight="1" x14ac:dyDescent="0.25">
      <c r="D224" s="102">
        <v>45180</v>
      </c>
    </row>
    <row r="225" spans="1:13" ht="27.75" customHeight="1" x14ac:dyDescent="0.25">
      <c r="D225" s="105">
        <v>45180</v>
      </c>
    </row>
    <row r="226" spans="1:13" ht="27.75" customHeight="1" x14ac:dyDescent="0.25">
      <c r="D226" s="102">
        <v>45182</v>
      </c>
    </row>
    <row r="227" spans="1:13" ht="27.75" customHeight="1" x14ac:dyDescent="0.25">
      <c r="D227" s="105">
        <v>45222</v>
      </c>
    </row>
    <row r="228" spans="1:13" ht="27.75" customHeight="1" x14ac:dyDescent="0.25">
      <c r="D228" s="102">
        <v>45222</v>
      </c>
    </row>
    <row r="229" spans="1:13" ht="27.75" customHeight="1" x14ac:dyDescent="0.25">
      <c r="D229" s="105">
        <v>45222</v>
      </c>
    </row>
    <row r="230" spans="1:13" ht="27.75" customHeight="1" x14ac:dyDescent="0.25">
      <c r="D230" s="102">
        <v>45222</v>
      </c>
    </row>
    <row r="231" spans="1:13" ht="27.75" customHeight="1" x14ac:dyDescent="0.25">
      <c r="D231" s="105">
        <v>45224</v>
      </c>
    </row>
    <row r="232" spans="1:13" ht="27.75" customHeight="1" x14ac:dyDescent="0.25">
      <c r="D232" s="102">
        <v>45224</v>
      </c>
    </row>
    <row r="233" spans="1:13" ht="27.75" customHeight="1" x14ac:dyDescent="0.25">
      <c r="D233" s="105">
        <v>45224</v>
      </c>
    </row>
    <row r="234" spans="1:13" ht="27.75" customHeight="1" x14ac:dyDescent="0.25">
      <c r="D234" s="102">
        <v>45225</v>
      </c>
    </row>
    <row r="235" spans="1:13" ht="27.75" customHeight="1" x14ac:dyDescent="0.25">
      <c r="D235" s="105">
        <v>45225</v>
      </c>
    </row>
    <row r="236" spans="1:13" ht="27.75" customHeight="1" x14ac:dyDescent="0.25">
      <c r="D236" s="102">
        <v>45245</v>
      </c>
    </row>
    <row r="237" spans="1:13" ht="27.75" customHeight="1" x14ac:dyDescent="0.25">
      <c r="D237" s="105">
        <v>45265</v>
      </c>
    </row>
    <row r="238" spans="1:13" ht="27.75" customHeight="1" x14ac:dyDescent="0.25">
      <c r="D238" s="102">
        <v>45267</v>
      </c>
    </row>
    <row r="239" spans="1:13" ht="27.75" customHeight="1" x14ac:dyDescent="0.25">
      <c r="D239" s="105">
        <v>45334</v>
      </c>
    </row>
    <row r="240" spans="1:13" ht="27.75" customHeight="1" x14ac:dyDescent="0.25">
      <c r="D240" s="102">
        <v>45344</v>
      </c>
    </row>
    <row r="241" spans="1:13" ht="27.75" customHeight="1" x14ac:dyDescent="0.25">
      <c r="D241" s="105">
        <v>45352</v>
      </c>
    </row>
    <row r="242" spans="1:13" ht="27.75" customHeight="1" x14ac:dyDescent="0.25">
      <c r="D242" s="102">
        <v>45387</v>
      </c>
    </row>
    <row r="243" spans="1:13" ht="27.75" customHeight="1" x14ac:dyDescent="0.25">
      <c r="D243" s="105">
        <v>45387</v>
      </c>
    </row>
    <row r="244" spans="1:13" ht="27.75" customHeight="1" x14ac:dyDescent="0.25">
      <c r="D244" s="102">
        <v>45387</v>
      </c>
    </row>
    <row r="245" spans="1:13" ht="27.75" customHeight="1" x14ac:dyDescent="0.25">
      <c r="D245" s="105">
        <v>45387</v>
      </c>
    </row>
    <row r="246" spans="1:13" ht="27.75" customHeight="1" x14ac:dyDescent="0.25">
      <c r="D246" s="102">
        <v>45387</v>
      </c>
    </row>
    <row r="247" spans="1:13" ht="27.75" customHeight="1" x14ac:dyDescent="0.25">
      <c r="D247" s="105">
        <v>45387</v>
      </c>
    </row>
    <row r="248" spans="1:13" ht="27.75" customHeight="1" x14ac:dyDescent="0.25">
      <c r="D248" s="102">
        <v>45387</v>
      </c>
    </row>
    <row r="249" spans="1:13" ht="27.75" customHeight="1" x14ac:dyDescent="0.25">
      <c r="D249" s="105">
        <v>45387</v>
      </c>
    </row>
    <row r="250" spans="1:13" ht="27.75" customHeight="1" x14ac:dyDescent="0.25">
      <c r="D250" s="102">
        <v>45387</v>
      </c>
    </row>
    <row r="251" spans="1:13" ht="27.75" customHeight="1" x14ac:dyDescent="0.25">
      <c r="D251" s="105">
        <v>45467</v>
      </c>
    </row>
    <row r="252" spans="1:13" ht="27.75" customHeight="1" x14ac:dyDescent="0.25">
      <c r="D252" s="102">
        <v>45471</v>
      </c>
    </row>
    <row r="253" spans="1:13" ht="27.75" customHeight="1" x14ac:dyDescent="0.25">
      <c r="D253" s="105">
        <v>45481</v>
      </c>
    </row>
    <row r="254" spans="1:13" ht="27.75" customHeight="1" x14ac:dyDescent="0.25">
      <c r="D254" s="102">
        <v>45492</v>
      </c>
    </row>
    <row r="255" spans="1:13" ht="27.75" customHeight="1" x14ac:dyDescent="0.25">
      <c r="D255" s="105">
        <v>45513</v>
      </c>
    </row>
    <row r="256" spans="1:13" ht="27.75" customHeight="1" x14ac:dyDescent="0.25">
      <c r="D256" s="102">
        <v>45552</v>
      </c>
    </row>
    <row r="257" spans="1:13" ht="27.75" customHeight="1" x14ac:dyDescent="0.25">
      <c r="D257" s="105">
        <v>45583</v>
      </c>
    </row>
    <row r="258" spans="1:13" ht="27.75" customHeight="1" x14ac:dyDescent="0.25">
      <c r="D258" s="102">
        <v>45586</v>
      </c>
    </row>
    <row r="259" spans="1:13" ht="27.75" customHeight="1" x14ac:dyDescent="0.25">
      <c r="D259" s="105">
        <v>45589</v>
      </c>
    </row>
    <row r="260" spans="1:13" ht="27.75" customHeight="1" x14ac:dyDescent="0.25">
      <c r="D260" s="102">
        <v>45589</v>
      </c>
    </row>
    <row r="261" spans="1:13" ht="27.75" customHeight="1" x14ac:dyDescent="0.25">
      <c r="D261" s="105">
        <v>45596</v>
      </c>
    </row>
    <row r="262" spans="1:13" ht="27.75" customHeight="1" x14ac:dyDescent="0.25">
      <c r="D262" s="102">
        <v>45615</v>
      </c>
    </row>
    <row r="263" spans="1:13" ht="27.75" customHeight="1" x14ac:dyDescent="0.25">
      <c r="D263" s="105">
        <v>45624</v>
      </c>
    </row>
    <row r="264" spans="1:13" ht="27.75" customHeight="1" x14ac:dyDescent="0.25">
      <c r="D264" s="102">
        <v>45632</v>
      </c>
    </row>
    <row r="265" spans="1:13" ht="27.75" customHeight="1" x14ac:dyDescent="0.25">
      <c r="D265" s="105">
        <v>45642</v>
      </c>
    </row>
    <row r="266" spans="1:13" ht="27.75" customHeight="1" x14ac:dyDescent="0.25">
      <c r="D266" s="102">
        <v>45642</v>
      </c>
    </row>
    <row r="267" spans="1:13" ht="27.75" customHeight="1" x14ac:dyDescent="0.25">
      <c r="D267" s="105">
        <v>45679</v>
      </c>
    </row>
    <row r="268" spans="1:13" ht="27.75" customHeight="1" x14ac:dyDescent="0.25">
      <c r="D268" s="102">
        <v>45688</v>
      </c>
    </row>
    <row r="269" spans="1:13" ht="27.75" customHeight="1" x14ac:dyDescent="0.25">
      <c r="D269" s="105">
        <v>45688</v>
      </c>
    </row>
    <row r="270" spans="1:13" ht="27.75" customHeight="1" x14ac:dyDescent="0.25">
      <c r="D270" s="102">
        <v>45688</v>
      </c>
    </row>
    <row r="271" spans="1:13" ht="27.75" customHeight="1" x14ac:dyDescent="0.25">
      <c r="D271" s="105">
        <v>45688</v>
      </c>
    </row>
    <row r="272" spans="1:13" ht="27.75" customHeight="1" x14ac:dyDescent="0.25">
      <c r="D272" s="102">
        <v>45694</v>
      </c>
    </row>
    <row r="273" spans="1:13" ht="27.75" customHeight="1" x14ac:dyDescent="0.25">
      <c r="D273" s="105">
        <v>45713</v>
      </c>
    </row>
    <row r="274" spans="1:13" ht="27.75" customHeight="1" x14ac:dyDescent="0.25">
      <c r="D274" s="102">
        <v>45723</v>
      </c>
    </row>
    <row r="275" spans="1:13" ht="27.75" customHeight="1" x14ac:dyDescent="0.25">
      <c r="D275" s="105">
        <v>45743</v>
      </c>
    </row>
    <row r="276" spans="1:13" ht="27.75" customHeight="1" x14ac:dyDescent="0.25">
      <c r="D276" s="102">
        <v>45743</v>
      </c>
    </row>
    <row r="277" spans="1:13" ht="27.75" customHeight="1" x14ac:dyDescent="0.25">
      <c r="D277" s="105">
        <v>45743</v>
      </c>
    </row>
    <row r="278" spans="1:13" ht="27.75" customHeight="1" x14ac:dyDescent="0.25">
      <c r="D278" s="102">
        <v>45743</v>
      </c>
    </row>
    <row r="279" spans="1:13" ht="27.75" customHeight="1" x14ac:dyDescent="0.25">
      <c r="D279" s="105">
        <v>45743</v>
      </c>
    </row>
    <row r="280" spans="1:13" ht="27.75" customHeight="1" x14ac:dyDescent="0.25">
      <c r="D280" s="102">
        <v>45743</v>
      </c>
    </row>
    <row r="281" spans="1:13" ht="27.75" customHeight="1" x14ac:dyDescent="0.25">
      <c r="D281" s="105">
        <v>45748</v>
      </c>
    </row>
    <row r="282" spans="1:13" ht="27.75" customHeight="1" x14ac:dyDescent="0.25">
      <c r="D282" s="102">
        <v>45758</v>
      </c>
    </row>
    <row r="283" spans="1:13" ht="27.75" customHeight="1" x14ac:dyDescent="0.25">
      <c r="D283" s="105">
        <v>45758</v>
      </c>
    </row>
    <row r="284" spans="1:13" ht="27.75" customHeight="1" x14ac:dyDescent="0.25">
      <c r="D284" s="102">
        <v>45758</v>
      </c>
    </row>
    <row r="285" spans="1:13" ht="27.75" customHeight="1" x14ac:dyDescent="0.25">
      <c r="D285" s="105">
        <v>45775</v>
      </c>
    </row>
    <row r="286" spans="1:13" ht="27.75" customHeight="1" x14ac:dyDescent="0.25">
      <c r="D286" s="102">
        <v>45779</v>
      </c>
    </row>
    <row r="287" spans="1:13" ht="27.75" customHeight="1" x14ac:dyDescent="0.25">
      <c r="D287" s="105">
        <v>45789</v>
      </c>
    </row>
    <row r="288" spans="1:13" ht="27.75" customHeight="1" x14ac:dyDescent="0.25">
      <c r="D288" s="102">
        <v>45810</v>
      </c>
    </row>
    <row r="289" spans="1:13" ht="27.75" customHeight="1" x14ac:dyDescent="0.25">
      <c r="D289" s="105">
        <v>45810</v>
      </c>
    </row>
    <row r="290" spans="1:13" ht="27.75" customHeight="1" x14ac:dyDescent="0.25">
      <c r="D290" s="102">
        <v>45811</v>
      </c>
    </row>
    <row r="291" spans="1:13" ht="27.75" customHeight="1" x14ac:dyDescent="0.25">
      <c r="D291" s="105">
        <v>45834</v>
      </c>
    </row>
    <row r="292" spans="1:13" ht="27.75" customHeight="1" x14ac:dyDescent="0.25">
      <c r="D292" s="102">
        <v>45839</v>
      </c>
    </row>
    <row r="293" spans="1:13" ht="27.75" customHeight="1" x14ac:dyDescent="0.25">
      <c r="D293" s="105">
        <v>45846</v>
      </c>
    </row>
    <row r="294" spans="1:13" ht="27.75" customHeight="1" x14ac:dyDescent="0.25">
      <c r="D294" s="102">
        <v>45846</v>
      </c>
    </row>
    <row r="295" spans="1:13" ht="27.75" customHeight="1" x14ac:dyDescent="0.25">
      <c r="D295" s="105">
        <v>45867</v>
      </c>
    </row>
    <row r="296" spans="1:13" ht="27.75" customHeight="1" x14ac:dyDescent="0.25">
      <c r="D296" s="102">
        <v>45867</v>
      </c>
    </row>
    <row r="297" spans="1:13" ht="27.75" customHeight="1" x14ac:dyDescent="0.25">
      <c r="D297" s="105">
        <v>45867</v>
      </c>
    </row>
    <row r="298" spans="1:13" ht="27.75" customHeight="1" x14ac:dyDescent="0.25">
      <c r="D298" s="102">
        <v>45894</v>
      </c>
    </row>
    <row r="299" spans="1:13" ht="27.75" customHeight="1" x14ac:dyDescent="0.25">
      <c r="D299" s="105">
        <v>45904</v>
      </c>
    </row>
    <row r="300" spans="1:13" ht="27.75" customHeight="1" x14ac:dyDescent="0.25">
      <c r="D300" s="102">
        <v>45905</v>
      </c>
    </row>
    <row r="301" spans="1:13" ht="27.75" customHeight="1" x14ac:dyDescent="0.25">
      <c r="D301" s="105">
        <v>45919</v>
      </c>
    </row>
    <row r="302" spans="1:13" ht="27.75" customHeight="1" x14ac:dyDescent="0.25">
      <c r="D302" s="102">
        <v>45972</v>
      </c>
    </row>
    <row r="303" spans="1:13" ht="27.75" customHeight="1" x14ac:dyDescent="0.25">
      <c r="D303" s="105">
        <v>45989</v>
      </c>
    </row>
    <row r="304" spans="1:13" ht="27.75" customHeight="1" x14ac:dyDescent="0.25">
      <c r="D304" s="102">
        <v>45989</v>
      </c>
    </row>
    <row r="305" spans="1:13" ht="27.75" customHeight="1" x14ac:dyDescent="0.25">
      <c r="D305" s="105">
        <v>45989</v>
      </c>
    </row>
    <row r="306" spans="1:13" ht="27.75" customHeight="1" x14ac:dyDescent="0.25">
      <c r="D306" s="102">
        <v>45989</v>
      </c>
    </row>
    <row r="307" spans="1:13" ht="27.75" customHeight="1" x14ac:dyDescent="0.25">
      <c r="D307" s="105">
        <v>45989</v>
      </c>
    </row>
    <row r="308" spans="1:13" ht="27.75" customHeight="1" x14ac:dyDescent="0.25">
      <c r="D308" s="102">
        <v>45989</v>
      </c>
    </row>
    <row r="309" spans="1:13" ht="27.75" customHeight="1" x14ac:dyDescent="0.25">
      <c r="D309" s="105">
        <v>46059</v>
      </c>
    </row>
    <row r="310" spans="1:13" ht="27.75" customHeight="1" x14ac:dyDescent="0.25">
      <c r="D310" s="102">
        <v>46076</v>
      </c>
    </row>
    <row r="311" spans="1:13" ht="27.75" customHeight="1" x14ac:dyDescent="0.25">
      <c r="D311" s="105">
        <v>46097</v>
      </c>
    </row>
    <row r="312" spans="1:13" ht="27.75" customHeight="1" x14ac:dyDescent="0.25">
      <c r="D312" s="102">
        <v>46112</v>
      </c>
    </row>
    <row r="313" spans="1:13" ht="27.75" customHeight="1" x14ac:dyDescent="0.25">
      <c r="D313" s="105">
        <v>46112</v>
      </c>
    </row>
    <row r="314" spans="1:13" ht="27.75" customHeight="1" x14ac:dyDescent="0.25">
      <c r="D314" s="102">
        <v>46139</v>
      </c>
    </row>
    <row r="315" spans="1:13" ht="27.75" customHeight="1" x14ac:dyDescent="0.25">
      <c r="D315" s="105">
        <v>46181</v>
      </c>
    </row>
    <row r="316" spans="1:13" ht="27.75" customHeight="1" x14ac:dyDescent="0.25">
      <c r="D316" s="102">
        <v>46230</v>
      </c>
    </row>
    <row r="317" spans="1:13" ht="27.75" customHeight="1" x14ac:dyDescent="0.25">
      <c r="D317" s="105">
        <v>46231</v>
      </c>
    </row>
    <row r="318" spans="1:13" ht="27.75" customHeight="1" x14ac:dyDescent="0.25">
      <c r="D318" s="102">
        <v>43966</v>
      </c>
    </row>
    <row r="319" spans="1:13" ht="27.75" customHeight="1" x14ac:dyDescent="0.25">
      <c r="D319" s="105">
        <v>43984</v>
      </c>
    </row>
    <row r="320" spans="1:13" ht="27.75" customHeight="1" x14ac:dyDescent="0.25">
      <c r="D320" s="102">
        <v>44095</v>
      </c>
    </row>
    <row r="321" spans="1:13" ht="27.75" customHeight="1" x14ac:dyDescent="0.25">
      <c r="D321" s="105">
        <v>44204</v>
      </c>
    </row>
    <row r="322" spans="1:13" ht="27.75" customHeight="1" x14ac:dyDescent="0.25">
      <c r="D322" s="102">
        <v>44263</v>
      </c>
    </row>
    <row r="323" spans="1:13" ht="27.75" customHeight="1" x14ac:dyDescent="0.25">
      <c r="D323" s="105">
        <v>44371</v>
      </c>
    </row>
    <row r="324" spans="1:13" ht="27.75" customHeight="1" x14ac:dyDescent="0.25">
      <c r="D324" s="102">
        <v>44428</v>
      </c>
    </row>
    <row r="325" spans="1:13" ht="27.75" customHeight="1" x14ac:dyDescent="0.25">
      <c r="D325" s="105">
        <v>44616</v>
      </c>
    </row>
    <row r="326" spans="1:13" ht="27.75" customHeight="1" x14ac:dyDescent="0.25">
      <c r="D326" s="102">
        <v>44720</v>
      </c>
    </row>
    <row r="327" spans="1:13" ht="27.75" customHeight="1" x14ac:dyDescent="0.25">
      <c r="D327" s="105">
        <v>44720</v>
      </c>
    </row>
    <row r="328" spans="1:13" ht="27.75" customHeight="1" x14ac:dyDescent="0.25">
      <c r="D328" s="102">
        <v>44733</v>
      </c>
    </row>
    <row r="329" spans="1:13" ht="27.75" customHeight="1" x14ac:dyDescent="0.25">
      <c r="D329" s="105">
        <v>44783</v>
      </c>
    </row>
    <row r="330" spans="1:13" ht="27.75" customHeight="1" x14ac:dyDescent="0.25">
      <c r="D330" s="102">
        <v>44783</v>
      </c>
    </row>
    <row r="331" spans="1:13" ht="27.75" customHeight="1" x14ac:dyDescent="0.25">
      <c r="D331" s="105">
        <v>44783</v>
      </c>
    </row>
    <row r="332" spans="1:13" ht="27.75" customHeight="1" x14ac:dyDescent="0.25">
      <c r="D332" s="102">
        <v>44862</v>
      </c>
    </row>
    <row r="333" spans="1:13" ht="27.75" customHeight="1" x14ac:dyDescent="0.25">
      <c r="D333" s="105">
        <v>44895</v>
      </c>
    </row>
    <row r="334" spans="1:13" ht="27.75" customHeight="1" x14ac:dyDescent="0.25">
      <c r="D334" s="102">
        <v>44942</v>
      </c>
    </row>
    <row r="335" spans="1:13" ht="27.75" customHeight="1" x14ac:dyDescent="0.25">
      <c r="D335" s="105">
        <v>44942</v>
      </c>
    </row>
    <row r="336" spans="1:13" ht="27.75" customHeight="1" x14ac:dyDescent="0.25">
      <c r="D336" s="102">
        <v>44980</v>
      </c>
    </row>
    <row r="337" spans="1:13" ht="27.75" customHeight="1" x14ac:dyDescent="0.25">
      <c r="D337" s="105">
        <v>45044</v>
      </c>
    </row>
    <row r="338" spans="1:13" ht="27.75" customHeight="1" x14ac:dyDescent="0.25">
      <c r="D338" s="102">
        <v>45044</v>
      </c>
    </row>
    <row r="339" spans="1:13" ht="27.75" customHeight="1" x14ac:dyDescent="0.25">
      <c r="D339" s="105">
        <v>45086</v>
      </c>
    </row>
    <row r="340" spans="1:13" ht="27.75" customHeight="1" x14ac:dyDescent="0.25">
      <c r="D340" s="102">
        <v>45148</v>
      </c>
    </row>
    <row r="341" spans="1:13" ht="27.75" customHeight="1" x14ac:dyDescent="0.25">
      <c r="D341" s="105">
        <v>45148</v>
      </c>
    </row>
    <row r="342" spans="1:13" ht="27.75" customHeight="1" x14ac:dyDescent="0.25">
      <c r="D342" s="102">
        <v>45154</v>
      </c>
    </row>
    <row r="343" spans="1:13" ht="27.75" customHeight="1" x14ac:dyDescent="0.25">
      <c r="D343" s="105">
        <v>45180</v>
      </c>
    </row>
    <row r="344" spans="1:13" ht="27.75" customHeight="1" x14ac:dyDescent="0.25">
      <c r="D344" s="102">
        <v>45198</v>
      </c>
    </row>
    <row r="345" spans="1:13" ht="27.75" customHeight="1" x14ac:dyDescent="0.25">
      <c r="D345" s="105">
        <v>45204</v>
      </c>
    </row>
    <row r="346" spans="1:13" ht="27.75" customHeight="1" x14ac:dyDescent="0.25">
      <c r="D346" s="102">
        <v>45243</v>
      </c>
    </row>
    <row r="347" spans="1:13" ht="27.75" customHeight="1" x14ac:dyDescent="0.25">
      <c r="D347" s="105">
        <v>45245</v>
      </c>
    </row>
    <row r="348" spans="1:13" ht="27.75" customHeight="1" x14ac:dyDescent="0.25">
      <c r="D348" s="102">
        <v>45245</v>
      </c>
    </row>
    <row r="349" spans="1:13" ht="27.75" customHeight="1" x14ac:dyDescent="0.25">
      <c r="D349" s="105">
        <v>45252</v>
      </c>
    </row>
    <row r="350" spans="1:13" ht="27.75" customHeight="1" x14ac:dyDescent="0.25">
      <c r="D350" s="102">
        <v>45373</v>
      </c>
    </row>
    <row r="351" spans="1:13" ht="27.75" customHeight="1" x14ac:dyDescent="0.25">
      <c r="D351" s="105">
        <v>45373</v>
      </c>
    </row>
    <row r="352" spans="1:13" ht="27.75" customHeight="1" x14ac:dyDescent="0.25">
      <c r="D352" s="102">
        <v>45373</v>
      </c>
    </row>
    <row r="353" spans="1:13" ht="27.75" customHeight="1" x14ac:dyDescent="0.25">
      <c r="D353" s="105">
        <v>45373</v>
      </c>
    </row>
    <row r="354" spans="1:13" ht="27.75" customHeight="1" x14ac:dyDescent="0.25">
      <c r="D354" s="102">
        <v>45406</v>
      </c>
    </row>
    <row r="355" spans="1:13" ht="27.75" customHeight="1" x14ac:dyDescent="0.25">
      <c r="D355" s="105">
        <v>45549</v>
      </c>
    </row>
    <row r="356" spans="1:13" ht="27.75" customHeight="1" x14ac:dyDescent="0.25">
      <c r="D356" s="102">
        <v>45734</v>
      </c>
    </row>
    <row r="357" spans="1:13" ht="27.75" customHeight="1" x14ac:dyDescent="0.25">
      <c r="D357" s="105">
        <v>45734</v>
      </c>
    </row>
    <row r="358" spans="1:13" ht="27.75" customHeight="1" x14ac:dyDescent="0.25">
      <c r="D358" s="102">
        <v>45734</v>
      </c>
    </row>
    <row r="359" spans="1:13" ht="27.75" customHeight="1" x14ac:dyDescent="0.25">
      <c r="D359" s="105">
        <v>45734</v>
      </c>
    </row>
    <row r="360" spans="1:13" ht="27.75" customHeight="1" x14ac:dyDescent="0.25">
      <c r="D360" s="102">
        <v>45866</v>
      </c>
    </row>
    <row r="361" spans="1:13" ht="27.75" customHeight="1" x14ac:dyDescent="0.25">
      <c r="D361" s="105">
        <v>45866</v>
      </c>
    </row>
    <row r="362" spans="1:13" ht="27.75" customHeight="1" x14ac:dyDescent="0.25">
      <c r="D362" s="102">
        <v>45905</v>
      </c>
    </row>
    <row r="363" spans="1:13" ht="27.75" customHeight="1" x14ac:dyDescent="0.25">
      <c r="D363" s="105">
        <v>46022</v>
      </c>
    </row>
    <row r="364" spans="1:13" ht="27.75" customHeight="1" x14ac:dyDescent="0.25">
      <c r="D364" s="102">
        <v>46022</v>
      </c>
    </row>
    <row r="365" spans="1:13" ht="27.75" customHeight="1" x14ac:dyDescent="0.25">
      <c r="D365" s="105">
        <v>46022</v>
      </c>
    </row>
    <row r="366" spans="1:13" ht="27.75" customHeight="1" x14ac:dyDescent="0.25">
      <c r="D366" s="102">
        <v>46022</v>
      </c>
    </row>
    <row r="367" spans="1:13" ht="27.75" customHeight="1" x14ac:dyDescent="0.25">
      <c r="D367" s="105">
        <v>46022</v>
      </c>
    </row>
    <row r="368" spans="1:13" ht="27.75" customHeight="1" x14ac:dyDescent="0.25">
      <c r="D368" s="102">
        <v>46092</v>
      </c>
    </row>
    <row r="369" spans="1:13" ht="27.75" customHeight="1" x14ac:dyDescent="0.25">
      <c r="D369" s="105">
        <v>46195</v>
      </c>
    </row>
    <row r="370" spans="1:13" ht="27.75" customHeight="1" x14ac:dyDescent="0.25">
      <c r="D370" s="102">
        <v>46241</v>
      </c>
    </row>
    <row r="371" spans="1:13" ht="27.75" customHeight="1" x14ac:dyDescent="0.25">
      <c r="D371" s="105">
        <v>45145</v>
      </c>
    </row>
    <row r="372" spans="1:13" ht="27.75" customHeight="1" x14ac:dyDescent="0.25">
      <c r="D372" s="102">
        <v>45737</v>
      </c>
    </row>
    <row r="373" spans="1:13" ht="27.75" customHeight="1" x14ac:dyDescent="0.25">
      <c r="D373" s="105">
        <v>45834</v>
      </c>
    </row>
    <row r="374" spans="1:13" ht="27.75" customHeight="1" x14ac:dyDescent="0.25">
      <c r="D374" s="102">
        <v>46062</v>
      </c>
    </row>
    <row r="375" spans="1:13" ht="27.75" customHeight="1" x14ac:dyDescent="0.25">
      <c r="D375" s="105">
        <v>46066</v>
      </c>
    </row>
    <row r="376" spans="1:13" ht="27.75" customHeight="1" x14ac:dyDescent="0.25">
      <c r="D376" s="102">
        <v>44287</v>
      </c>
    </row>
    <row r="377" spans="1:13" ht="27.75" customHeight="1" x14ac:dyDescent="0.25">
      <c r="D377" s="105">
        <v>44412</v>
      </c>
    </row>
    <row r="378" spans="1:13" ht="27.75" customHeight="1" x14ac:dyDescent="0.25">
      <c r="D378" s="102">
        <v>44768</v>
      </c>
    </row>
    <row r="379" spans="1:13" ht="27.75" customHeight="1" x14ac:dyDescent="0.25">
      <c r="D379" s="105">
        <v>44890</v>
      </c>
    </row>
    <row r="380" spans="1:13" ht="27.75" customHeight="1" x14ac:dyDescent="0.25">
      <c r="D380" s="102">
        <v>44895</v>
      </c>
    </row>
    <row r="381" spans="1:13" ht="27.75" customHeight="1" x14ac:dyDescent="0.25">
      <c r="D381" s="105">
        <v>46175</v>
      </c>
    </row>
    <row r="382" spans="1:13" ht="27.75" customHeight="1" x14ac:dyDescent="0.25">
      <c r="D382" s="102">
        <v>46139</v>
      </c>
    </row>
    <row r="383" spans="1:13" ht="27.75" customHeight="1" x14ac:dyDescent="0.25">
      <c r="D383" s="105">
        <v>45796</v>
      </c>
    </row>
    <row r="384" spans="1:13" ht="27.75" customHeight="1" x14ac:dyDescent="0.25">
      <c r="D384" s="102">
        <v>45797</v>
      </c>
    </row>
    <row r="385" spans="1:13" ht="27.75" customHeight="1" x14ac:dyDescent="0.25">
      <c r="D385" s="105">
        <v>45834</v>
      </c>
    </row>
    <row r="386" spans="1:13" ht="27.75" customHeight="1" x14ac:dyDescent="0.25">
      <c r="D386" s="102">
        <v>45905</v>
      </c>
    </row>
    <row r="387" spans="1:13" ht="27.75" customHeight="1" x14ac:dyDescent="0.25">
      <c r="D387" s="105">
        <v>46157</v>
      </c>
    </row>
    <row r="388" spans="1:13" ht="27.75" customHeight="1" x14ac:dyDescent="0.25">
      <c r="D388" s="102">
        <v>46198</v>
      </c>
    </row>
    <row r="389" spans="1:13" ht="27.75" customHeight="1" x14ac:dyDescent="0.25">
      <c r="D389" s="105">
        <v>44645</v>
      </c>
    </row>
    <row r="390" spans="1:13" ht="27.75" customHeight="1" x14ac:dyDescent="0.25">
      <c r="D390" s="102">
        <v>43718</v>
      </c>
    </row>
    <row r="391" spans="1:13" ht="27.75" customHeight="1" x14ac:dyDescent="0.25">
      <c r="D391" s="105">
        <v>43718</v>
      </c>
    </row>
    <row r="392" spans="1:13" ht="27.75" customHeight="1" x14ac:dyDescent="0.25">
      <c r="D392" s="102">
        <v>43726</v>
      </c>
    </row>
    <row r="393" spans="1:13" ht="27.75" customHeight="1" x14ac:dyDescent="0.25">
      <c r="D393" s="105">
        <v>43728</v>
      </c>
    </row>
    <row r="394" spans="1:13" ht="27.75" customHeight="1" x14ac:dyDescent="0.25">
      <c r="D394" s="102">
        <v>43741</v>
      </c>
    </row>
    <row r="395" spans="1:13" ht="27.75" customHeight="1" x14ac:dyDescent="0.25">
      <c r="D395" s="105">
        <v>43747</v>
      </c>
    </row>
    <row r="396" spans="1:13" ht="27.75" customHeight="1" x14ac:dyDescent="0.25">
      <c r="D396" s="102">
        <v>43756</v>
      </c>
    </row>
    <row r="397" spans="1:13" ht="27.75" customHeight="1" x14ac:dyDescent="0.25">
      <c r="D397" s="105">
        <v>43760</v>
      </c>
    </row>
    <row r="398" spans="1:13" ht="27.75" customHeight="1" x14ac:dyDescent="0.25">
      <c r="D398" s="102">
        <v>43791</v>
      </c>
    </row>
    <row r="399" spans="1:13" ht="27.75" customHeight="1" x14ac:dyDescent="0.25">
      <c r="D399" s="105">
        <v>43791</v>
      </c>
    </row>
    <row r="400" spans="1:13" ht="27.75" customHeight="1" x14ac:dyDescent="0.25">
      <c r="D400" s="102">
        <v>43839</v>
      </c>
    </row>
    <row r="401" spans="1:13" ht="27.75" customHeight="1" x14ac:dyDescent="0.25">
      <c r="D401" s="105">
        <v>43850</v>
      </c>
    </row>
    <row r="402" spans="1:13" ht="27.75" customHeight="1" x14ac:dyDescent="0.25">
      <c r="D402" s="102">
        <v>43854</v>
      </c>
    </row>
    <row r="403" spans="1:13" ht="27.75" customHeight="1" x14ac:dyDescent="0.25">
      <c r="D403" s="105">
        <v>43854</v>
      </c>
    </row>
    <row r="404" spans="1:13" ht="27.75" customHeight="1" x14ac:dyDescent="0.25">
      <c r="D404" s="102">
        <v>43860</v>
      </c>
    </row>
    <row r="405" spans="1:13" ht="27.75" customHeight="1" x14ac:dyDescent="0.25">
      <c r="D405" s="105">
        <v>43860</v>
      </c>
    </row>
    <row r="406" spans="1:13" ht="27.75" customHeight="1" x14ac:dyDescent="0.25">
      <c r="D406" s="102">
        <v>43866</v>
      </c>
    </row>
    <row r="407" spans="1:13" ht="27.75" customHeight="1" x14ac:dyDescent="0.25">
      <c r="D407" s="105">
        <v>43867</v>
      </c>
    </row>
    <row r="408" spans="1:13" ht="27.75" customHeight="1" x14ac:dyDescent="0.25">
      <c r="D408" s="102">
        <v>43867</v>
      </c>
    </row>
    <row r="409" spans="1:13" ht="27.75" customHeight="1" x14ac:dyDescent="0.25">
      <c r="D409" s="105">
        <v>43875</v>
      </c>
    </row>
    <row r="410" spans="1:13" ht="27.75" customHeight="1" x14ac:dyDescent="0.25">
      <c r="D410" s="102">
        <v>43878</v>
      </c>
    </row>
    <row r="411" spans="1:13" ht="27.75" customHeight="1" x14ac:dyDescent="0.25">
      <c r="D411" s="105">
        <v>43897</v>
      </c>
    </row>
    <row r="412" spans="1:13" ht="27.75" customHeight="1" x14ac:dyDescent="0.25">
      <c r="D412" s="102">
        <v>43946</v>
      </c>
    </row>
    <row r="413" spans="1:13" ht="27.75" customHeight="1" x14ac:dyDescent="0.25">
      <c r="D413" s="105">
        <v>43966</v>
      </c>
    </row>
    <row r="414" spans="1:13" ht="27.75" customHeight="1" x14ac:dyDescent="0.25">
      <c r="D414" s="102">
        <v>43973</v>
      </c>
    </row>
    <row r="415" spans="1:13" ht="27.75" customHeight="1" x14ac:dyDescent="0.25">
      <c r="D415" s="105">
        <v>43984</v>
      </c>
    </row>
    <row r="416" spans="1:13" ht="27.75" customHeight="1" x14ac:dyDescent="0.25">
      <c r="D416" s="102">
        <v>43986</v>
      </c>
    </row>
    <row r="417" spans="1:13" ht="27.75" customHeight="1" x14ac:dyDescent="0.25">
      <c r="D417" s="105">
        <v>43987</v>
      </c>
    </row>
    <row r="418" spans="1:13" ht="27.75" customHeight="1" x14ac:dyDescent="0.25">
      <c r="D418" s="102">
        <v>43999</v>
      </c>
    </row>
    <row r="419" spans="1:13" ht="27.75" customHeight="1" x14ac:dyDescent="0.25">
      <c r="D419" s="105">
        <v>44001</v>
      </c>
    </row>
    <row r="420" spans="1:13" ht="27.75" customHeight="1" x14ac:dyDescent="0.25">
      <c r="D420" s="102">
        <v>44018</v>
      </c>
    </row>
    <row r="421" spans="1:13" ht="27.75" customHeight="1" x14ac:dyDescent="0.25">
      <c r="D421" s="105">
        <v>44022</v>
      </c>
    </row>
    <row r="422" spans="1:13" ht="27.75" customHeight="1" x14ac:dyDescent="0.25">
      <c r="D422" s="102">
        <v>44022</v>
      </c>
    </row>
    <row r="423" spans="1:13" ht="27.75" customHeight="1" x14ac:dyDescent="0.25">
      <c r="D423" s="105">
        <v>44043</v>
      </c>
    </row>
    <row r="424" spans="1:13" ht="27.75" customHeight="1" x14ac:dyDescent="0.25">
      <c r="D424" s="102">
        <v>44056</v>
      </c>
    </row>
    <row r="425" spans="1:13" ht="27.75" customHeight="1" x14ac:dyDescent="0.25">
      <c r="D425" s="105">
        <v>44077</v>
      </c>
    </row>
    <row r="426" spans="1:13" ht="27.75" customHeight="1" x14ac:dyDescent="0.25">
      <c r="D426" s="102">
        <v>44085</v>
      </c>
    </row>
    <row r="427" spans="1:13" ht="27.75" customHeight="1" x14ac:dyDescent="0.25">
      <c r="D427" s="105">
        <v>44095</v>
      </c>
    </row>
    <row r="428" spans="1:13" ht="27.75" customHeight="1" x14ac:dyDescent="0.25">
      <c r="D428" s="102">
        <v>44099</v>
      </c>
    </row>
    <row r="429" spans="1:13" ht="27.75" customHeight="1" x14ac:dyDescent="0.25">
      <c r="D429" s="105">
        <v>44099</v>
      </c>
    </row>
    <row r="430" spans="1:13" ht="27.75" customHeight="1" x14ac:dyDescent="0.25">
      <c r="D430" s="102">
        <v>44099</v>
      </c>
    </row>
    <row r="431" spans="1:13" ht="27.75" customHeight="1" x14ac:dyDescent="0.25">
      <c r="D431" s="105">
        <v>44099</v>
      </c>
    </row>
    <row r="432" spans="1:13" ht="27.75" customHeight="1" x14ac:dyDescent="0.25">
      <c r="D432" s="102">
        <v>44119</v>
      </c>
    </row>
    <row r="433" spans="1:13" ht="27.75" customHeight="1" x14ac:dyDescent="0.25">
      <c r="D433" s="105">
        <v>44119</v>
      </c>
    </row>
    <row r="434" spans="1:13" ht="27.75" customHeight="1" x14ac:dyDescent="0.25">
      <c r="D434" s="102">
        <v>44135</v>
      </c>
    </row>
    <row r="435" spans="1:13" ht="27.75" customHeight="1" x14ac:dyDescent="0.25">
      <c r="D435" s="105">
        <v>44135</v>
      </c>
    </row>
    <row r="436" spans="1:13" ht="27.75" customHeight="1" x14ac:dyDescent="0.25">
      <c r="D436" s="102">
        <v>44138</v>
      </c>
    </row>
    <row r="437" spans="1:13" ht="27.75" customHeight="1" x14ac:dyDescent="0.25">
      <c r="D437" s="105">
        <v>44138</v>
      </c>
    </row>
    <row r="438" spans="1:13" ht="27.75" customHeight="1" x14ac:dyDescent="0.25">
      <c r="D438" s="102">
        <v>44144</v>
      </c>
    </row>
    <row r="439" spans="1:13" ht="27.75" customHeight="1" x14ac:dyDescent="0.25">
      <c r="D439" s="105">
        <v>44144</v>
      </c>
    </row>
    <row r="440" spans="1:13" ht="27.75" customHeight="1" x14ac:dyDescent="0.25">
      <c r="D440" s="102">
        <v>44144</v>
      </c>
    </row>
    <row r="441" spans="1:13" ht="27.75" customHeight="1" x14ac:dyDescent="0.25">
      <c r="D441" s="105">
        <v>44147</v>
      </c>
    </row>
    <row r="442" spans="1:13" ht="27.75" customHeight="1" x14ac:dyDescent="0.25">
      <c r="D442" s="102">
        <v>44147</v>
      </c>
    </row>
    <row r="443" spans="1:13" ht="27.75" customHeight="1" x14ac:dyDescent="0.25">
      <c r="D443" s="105">
        <v>44147</v>
      </c>
    </row>
    <row r="444" spans="1:13" ht="27.75" customHeight="1" x14ac:dyDescent="0.25">
      <c r="D444" s="102">
        <v>44148</v>
      </c>
    </row>
    <row r="445" spans="1:13" ht="27.75" customHeight="1" x14ac:dyDescent="0.25">
      <c r="D445" s="105">
        <v>44148</v>
      </c>
    </row>
    <row r="446" spans="1:13" ht="27.75" customHeight="1" x14ac:dyDescent="0.25">
      <c r="D446" s="102">
        <v>44148</v>
      </c>
    </row>
    <row r="447" spans="1:13" ht="27.75" customHeight="1" x14ac:dyDescent="0.25">
      <c r="D447" s="105">
        <v>44148</v>
      </c>
    </row>
    <row r="448" spans="1:13" ht="27.75" customHeight="1" x14ac:dyDescent="0.25">
      <c r="D448" s="102">
        <v>44154</v>
      </c>
    </row>
    <row r="449" spans="1:13" ht="27.75" customHeight="1" x14ac:dyDescent="0.25">
      <c r="D449" s="105">
        <v>44161</v>
      </c>
    </row>
    <row r="450" spans="1:13" ht="27.75" customHeight="1" x14ac:dyDescent="0.25">
      <c r="D450" s="102">
        <v>44161</v>
      </c>
    </row>
    <row r="451" spans="1:13" ht="27.75" customHeight="1" x14ac:dyDescent="0.25">
      <c r="D451" s="105">
        <v>44161</v>
      </c>
    </row>
    <row r="452" spans="1:13" ht="27.75" customHeight="1" x14ac:dyDescent="0.25">
      <c r="D452" s="102">
        <v>44161</v>
      </c>
    </row>
    <row r="453" spans="1:13" ht="27.75" customHeight="1" x14ac:dyDescent="0.25">
      <c r="D453" s="105">
        <v>44161</v>
      </c>
    </row>
    <row r="454" spans="1:13" ht="27.75" customHeight="1" x14ac:dyDescent="0.25">
      <c r="D454" s="102">
        <v>44169</v>
      </c>
    </row>
    <row r="455" spans="1:13" ht="27.75" customHeight="1" x14ac:dyDescent="0.25">
      <c r="D455" s="105">
        <v>44169</v>
      </c>
    </row>
    <row r="456" spans="1:13" ht="27.75" customHeight="1" x14ac:dyDescent="0.25">
      <c r="D456" s="102">
        <v>44169</v>
      </c>
    </row>
    <row r="457" spans="1:13" ht="27.75" customHeight="1" x14ac:dyDescent="0.25">
      <c r="D457" s="105">
        <v>44169</v>
      </c>
    </row>
    <row r="458" spans="1:13" ht="27.75" customHeight="1" x14ac:dyDescent="0.25">
      <c r="D458" s="102">
        <v>44183</v>
      </c>
    </row>
    <row r="459" spans="1:13" ht="27.75" customHeight="1" x14ac:dyDescent="0.25">
      <c r="D459" s="105">
        <v>44183</v>
      </c>
    </row>
    <row r="460" spans="1:13" ht="27.75" customHeight="1" x14ac:dyDescent="0.25">
      <c r="D460" s="102">
        <v>44183</v>
      </c>
    </row>
    <row r="461" spans="1:13" ht="27.75" customHeight="1" x14ac:dyDescent="0.25">
      <c r="D461" s="105">
        <v>44183</v>
      </c>
    </row>
    <row r="462" spans="1:13" ht="27.75" customHeight="1" x14ac:dyDescent="0.25">
      <c r="D462" s="102">
        <v>44183</v>
      </c>
    </row>
    <row r="463" spans="1:13" ht="27.75" customHeight="1" x14ac:dyDescent="0.25">
      <c r="D463" s="105">
        <v>44196</v>
      </c>
    </row>
    <row r="464" spans="1:13" ht="27.75" customHeight="1" x14ac:dyDescent="0.25">
      <c r="D464" s="102">
        <v>44196</v>
      </c>
    </row>
    <row r="465" spans="1:13" ht="27.75" customHeight="1" x14ac:dyDescent="0.25">
      <c r="D465" s="105">
        <v>44216</v>
      </c>
    </row>
    <row r="466" spans="1:13" ht="27.75" customHeight="1" x14ac:dyDescent="0.25">
      <c r="D466" s="102">
        <v>44216</v>
      </c>
    </row>
    <row r="467" spans="1:13" ht="27.75" customHeight="1" x14ac:dyDescent="0.25">
      <c r="D467" s="105">
        <v>44242</v>
      </c>
    </row>
    <row r="468" spans="1:13" ht="27.75" customHeight="1" x14ac:dyDescent="0.25">
      <c r="D468" s="102">
        <v>44253</v>
      </c>
    </row>
    <row r="469" spans="1:13" ht="27.75" customHeight="1" x14ac:dyDescent="0.25">
      <c r="D469" s="105">
        <v>44258</v>
      </c>
    </row>
    <row r="470" spans="1:13" ht="27.75" customHeight="1" x14ac:dyDescent="0.25">
      <c r="D470" s="102">
        <v>44263</v>
      </c>
    </row>
    <row r="471" spans="1:13" ht="27.75" customHeight="1" x14ac:dyDescent="0.25">
      <c r="D471" s="105">
        <v>44263</v>
      </c>
    </row>
    <row r="472" spans="1:13" ht="27.75" customHeight="1" x14ac:dyDescent="0.25">
      <c r="D472" s="102">
        <v>44263</v>
      </c>
    </row>
    <row r="473" spans="1:13" ht="27.75" customHeight="1" x14ac:dyDescent="0.25">
      <c r="D473" s="105">
        <v>44265</v>
      </c>
    </row>
    <row r="474" spans="1:13" ht="27.75" customHeight="1" x14ac:dyDescent="0.25">
      <c r="D474" s="102">
        <v>44266</v>
      </c>
    </row>
    <row r="475" spans="1:13" ht="27.75" customHeight="1" x14ac:dyDescent="0.25">
      <c r="D475" s="105">
        <v>44266</v>
      </c>
    </row>
    <row r="476" spans="1:13" ht="27.75" customHeight="1" x14ac:dyDescent="0.25">
      <c r="D476" s="102">
        <v>44267</v>
      </c>
    </row>
    <row r="477" spans="1:13" ht="27.75" customHeight="1" x14ac:dyDescent="0.25">
      <c r="D477" s="105">
        <v>44270</v>
      </c>
    </row>
    <row r="478" spans="1:13" ht="27.75" customHeight="1" x14ac:dyDescent="0.25">
      <c r="D478" s="102">
        <v>44275</v>
      </c>
    </row>
    <row r="479" spans="1:13" ht="27.75" customHeight="1" x14ac:dyDescent="0.25">
      <c r="D479" s="105">
        <v>44275</v>
      </c>
    </row>
    <row r="480" spans="1:13" ht="27.75" customHeight="1" x14ac:dyDescent="0.25">
      <c r="D480" s="102">
        <v>44284</v>
      </c>
    </row>
    <row r="481" spans="1:13" ht="27.75" customHeight="1" x14ac:dyDescent="0.25">
      <c r="D481" s="105">
        <v>44284</v>
      </c>
    </row>
    <row r="482" spans="1:13" ht="27.75" customHeight="1" x14ac:dyDescent="0.25">
      <c r="D482" s="102">
        <v>44284</v>
      </c>
    </row>
    <row r="483" spans="1:13" ht="27.75" customHeight="1" x14ac:dyDescent="0.25">
      <c r="D483" s="105">
        <v>44284</v>
      </c>
    </row>
    <row r="484" spans="1:13" ht="27.75" customHeight="1" x14ac:dyDescent="0.25">
      <c r="D484" s="102">
        <v>44284</v>
      </c>
    </row>
    <row r="485" spans="1:13" ht="27.75" customHeight="1" x14ac:dyDescent="0.25">
      <c r="D485" s="105">
        <v>44284</v>
      </c>
    </row>
    <row r="486" spans="1:13" ht="27.75" customHeight="1" x14ac:dyDescent="0.25">
      <c r="D486" s="102">
        <v>44284</v>
      </c>
    </row>
    <row r="487" spans="1:13" ht="27.75" customHeight="1" x14ac:dyDescent="0.25">
      <c r="D487" s="105">
        <v>44284</v>
      </c>
    </row>
    <row r="488" spans="1:13" ht="27.75" customHeight="1" x14ac:dyDescent="0.25">
      <c r="D488" s="102">
        <v>44284</v>
      </c>
    </row>
    <row r="489" spans="1:13" ht="27.75" customHeight="1" x14ac:dyDescent="0.25">
      <c r="D489" s="105">
        <v>44294</v>
      </c>
    </row>
    <row r="490" spans="1:13" ht="27.75" customHeight="1" x14ac:dyDescent="0.25">
      <c r="D490" s="102">
        <v>44301</v>
      </c>
    </row>
    <row r="491" spans="1:13" ht="27.75" customHeight="1" x14ac:dyDescent="0.25">
      <c r="D491" s="105">
        <v>44302</v>
      </c>
    </row>
    <row r="492" spans="1:13" ht="27.75" customHeight="1" x14ac:dyDescent="0.25">
      <c r="D492" s="102">
        <v>44307</v>
      </c>
    </row>
    <row r="493" spans="1:13" ht="27.75" customHeight="1" x14ac:dyDescent="0.25">
      <c r="D493" s="105">
        <v>44307</v>
      </c>
    </row>
    <row r="494" spans="1:13" ht="27.75" customHeight="1" x14ac:dyDescent="0.25">
      <c r="D494" s="102">
        <v>44316</v>
      </c>
    </row>
    <row r="495" spans="1:13" ht="27.75" customHeight="1" x14ac:dyDescent="0.25">
      <c r="D495" s="105">
        <v>44326</v>
      </c>
    </row>
    <row r="496" spans="1:13" ht="27.75" customHeight="1" x14ac:dyDescent="0.25">
      <c r="D496" s="102">
        <v>44330</v>
      </c>
    </row>
    <row r="497" spans="1:13" ht="27.75" customHeight="1" x14ac:dyDescent="0.25">
      <c r="D497" s="105">
        <v>44334</v>
      </c>
    </row>
    <row r="498" spans="1:13" ht="27.75" customHeight="1" x14ac:dyDescent="0.25">
      <c r="D498" s="102">
        <v>44334</v>
      </c>
    </row>
    <row r="499" spans="1:13" ht="27.75" customHeight="1" x14ac:dyDescent="0.25">
      <c r="D499" s="105">
        <v>44343</v>
      </c>
    </row>
    <row r="500" spans="1:13" ht="27.75" customHeight="1" x14ac:dyDescent="0.25">
      <c r="D500" s="102">
        <v>44344</v>
      </c>
    </row>
    <row r="501" spans="1:13" ht="27.75" customHeight="1" x14ac:dyDescent="0.25">
      <c r="D501" s="105">
        <v>44349</v>
      </c>
    </row>
    <row r="502" spans="1:13" ht="27.75" customHeight="1" x14ac:dyDescent="0.25">
      <c r="D502" s="102">
        <v>44351</v>
      </c>
    </row>
    <row r="503" spans="1:13" ht="27.75" customHeight="1" x14ac:dyDescent="0.25">
      <c r="D503" s="105">
        <v>44371</v>
      </c>
    </row>
    <row r="504" spans="1:13" ht="27.75" customHeight="1" x14ac:dyDescent="0.25">
      <c r="D504" s="102">
        <v>44383</v>
      </c>
    </row>
    <row r="505" spans="1:13" ht="27.75" customHeight="1" x14ac:dyDescent="0.25">
      <c r="D505" s="105">
        <v>44383</v>
      </c>
    </row>
    <row r="506" spans="1:13" ht="27.75" customHeight="1" x14ac:dyDescent="0.25">
      <c r="D506" s="102">
        <v>44398</v>
      </c>
    </row>
    <row r="507" spans="1:13" ht="27.75" customHeight="1" x14ac:dyDescent="0.25">
      <c r="D507" s="105">
        <v>44418</v>
      </c>
    </row>
    <row r="508" spans="1:13" ht="27.75" customHeight="1" x14ac:dyDescent="0.25">
      <c r="D508" s="102">
        <v>44418</v>
      </c>
    </row>
    <row r="509" spans="1:13" ht="27.75" customHeight="1" x14ac:dyDescent="0.25">
      <c r="D509" s="105">
        <v>44421</v>
      </c>
    </row>
    <row r="510" spans="1:13" ht="27.75" customHeight="1" x14ac:dyDescent="0.25">
      <c r="D510" s="102">
        <v>44428</v>
      </c>
    </row>
    <row r="511" spans="1:13" ht="27.75" customHeight="1" x14ac:dyDescent="0.25">
      <c r="D511" s="105">
        <v>44428</v>
      </c>
    </row>
    <row r="512" spans="1:13" ht="27.75" customHeight="1" x14ac:dyDescent="0.25">
      <c r="D512" s="102">
        <v>44441</v>
      </c>
    </row>
    <row r="513" spans="1:13" ht="27.75" customHeight="1" x14ac:dyDescent="0.25">
      <c r="D513" s="105">
        <v>44441</v>
      </c>
    </row>
    <row r="514" spans="1:13" ht="27.75" customHeight="1" x14ac:dyDescent="0.25">
      <c r="D514" s="102">
        <v>44477</v>
      </c>
    </row>
    <row r="515" spans="1:13" ht="27.75" customHeight="1" x14ac:dyDescent="0.25">
      <c r="D515" s="105">
        <v>44477</v>
      </c>
    </row>
    <row r="516" spans="1:13" ht="27.75" customHeight="1" x14ac:dyDescent="0.25">
      <c r="D516" s="102">
        <v>44477</v>
      </c>
    </row>
    <row r="517" spans="1:13" ht="27.75" customHeight="1" x14ac:dyDescent="0.25">
      <c r="D517" s="105">
        <v>44477</v>
      </c>
    </row>
    <row r="518" spans="1:13" ht="27.75" customHeight="1" x14ac:dyDescent="0.25">
      <c r="D518" s="102">
        <v>44484</v>
      </c>
    </row>
    <row r="519" spans="1:13" ht="27.75" customHeight="1" x14ac:dyDescent="0.25">
      <c r="D519" s="105">
        <v>44491</v>
      </c>
    </row>
    <row r="520" spans="1:13" ht="27.75" customHeight="1" x14ac:dyDescent="0.25">
      <c r="D520" s="102">
        <v>44501</v>
      </c>
    </row>
    <row r="521" spans="1:13" ht="27.75" customHeight="1" x14ac:dyDescent="0.25">
      <c r="D521" s="105">
        <v>44501</v>
      </c>
    </row>
    <row r="522" spans="1:13" ht="27.75" customHeight="1" x14ac:dyDescent="0.25">
      <c r="D522" s="102">
        <v>44515</v>
      </c>
    </row>
    <row r="523" spans="1:13" ht="27.75" customHeight="1" x14ac:dyDescent="0.25">
      <c r="D523" s="105">
        <v>44515</v>
      </c>
    </row>
    <row r="524" spans="1:13" ht="27.75" customHeight="1" x14ac:dyDescent="0.25">
      <c r="D524" s="102">
        <v>44518</v>
      </c>
    </row>
    <row r="525" spans="1:13" ht="27.75" customHeight="1" x14ac:dyDescent="0.25">
      <c r="D525" s="105">
        <v>44526</v>
      </c>
    </row>
    <row r="526" spans="1:13" ht="27.75" customHeight="1" x14ac:dyDescent="0.25">
      <c r="D526" s="102">
        <v>44530</v>
      </c>
    </row>
    <row r="527" spans="1:13" ht="27.75" customHeight="1" x14ac:dyDescent="0.25">
      <c r="D527" s="105">
        <v>44532</v>
      </c>
    </row>
    <row r="528" spans="1:13" ht="27.75" customHeight="1" x14ac:dyDescent="0.25">
      <c r="D528" s="102">
        <v>44532</v>
      </c>
    </row>
    <row r="529" spans="1:13" ht="27.75" customHeight="1" x14ac:dyDescent="0.25">
      <c r="D529" s="105">
        <v>44533</v>
      </c>
    </row>
    <row r="530" spans="1:13" ht="27.75" customHeight="1" x14ac:dyDescent="0.25">
      <c r="D530" s="102">
        <v>44546</v>
      </c>
    </row>
    <row r="531" spans="1:13" ht="27.75" customHeight="1" x14ac:dyDescent="0.25">
      <c r="D531" s="105">
        <v>44574</v>
      </c>
    </row>
    <row r="532" spans="1:13" ht="27.75" customHeight="1" x14ac:dyDescent="0.25">
      <c r="D532" s="102">
        <v>44574</v>
      </c>
    </row>
    <row r="533" spans="1:13" ht="27.75" customHeight="1" x14ac:dyDescent="0.25">
      <c r="D533" s="105">
        <v>44613</v>
      </c>
    </row>
    <row r="534" spans="1:13" ht="27.75" customHeight="1" x14ac:dyDescent="0.25">
      <c r="D534" s="102">
        <v>44616</v>
      </c>
    </row>
    <row r="535" spans="1:13" ht="27.75" customHeight="1" x14ac:dyDescent="0.25">
      <c r="D535" s="105">
        <v>44616</v>
      </c>
    </row>
    <row r="536" spans="1:13" ht="27.75" customHeight="1" x14ac:dyDescent="0.25">
      <c r="D536" s="102">
        <v>44616</v>
      </c>
    </row>
    <row r="537" spans="1:13" ht="27.75" customHeight="1" x14ac:dyDescent="0.25">
      <c r="D537" s="105">
        <v>44617</v>
      </c>
    </row>
    <row r="538" spans="1:13" ht="27.75" customHeight="1" x14ac:dyDescent="0.25">
      <c r="D538" s="102">
        <v>44620</v>
      </c>
    </row>
    <row r="539" spans="1:13" ht="27.75" customHeight="1" x14ac:dyDescent="0.25">
      <c r="D539" s="105">
        <v>44620</v>
      </c>
    </row>
    <row r="540" spans="1:13" ht="27.75" customHeight="1" x14ac:dyDescent="0.25">
      <c r="D540" s="102">
        <v>44624</v>
      </c>
    </row>
    <row r="541" spans="1:13" ht="27.75" customHeight="1" x14ac:dyDescent="0.25">
      <c r="D541" s="105">
        <v>44631</v>
      </c>
    </row>
    <row r="542" spans="1:13" ht="27.75" customHeight="1" x14ac:dyDescent="0.25">
      <c r="D542" s="102">
        <v>44638</v>
      </c>
    </row>
    <row r="543" spans="1:13" ht="27.75" customHeight="1" x14ac:dyDescent="0.25">
      <c r="D543" s="105">
        <v>44638</v>
      </c>
    </row>
    <row r="544" spans="1:13" ht="27.75" customHeight="1" x14ac:dyDescent="0.25">
      <c r="D544" s="102">
        <v>44645</v>
      </c>
    </row>
    <row r="545" spans="1:13" ht="27.75" customHeight="1" x14ac:dyDescent="0.25">
      <c r="D545" s="105">
        <v>44652</v>
      </c>
    </row>
    <row r="546" spans="1:13" ht="27.75" customHeight="1" x14ac:dyDescent="0.25">
      <c r="D546" s="102">
        <v>44670</v>
      </c>
    </row>
    <row r="547" spans="1:13" ht="27.75" customHeight="1" x14ac:dyDescent="0.25">
      <c r="D547" s="105">
        <v>44671</v>
      </c>
    </row>
    <row r="548" spans="1:13" ht="27.75" customHeight="1" x14ac:dyDescent="0.25">
      <c r="D548" s="102">
        <v>44676</v>
      </c>
    </row>
    <row r="549" spans="1:13" ht="27.75" customHeight="1" x14ac:dyDescent="0.25">
      <c r="D549" s="105">
        <v>44676</v>
      </c>
    </row>
    <row r="550" spans="1:13" ht="27.75" customHeight="1" x14ac:dyDescent="0.25">
      <c r="D550" s="102">
        <v>44678</v>
      </c>
    </row>
    <row r="551" spans="1:13" ht="27.75" customHeight="1" x14ac:dyDescent="0.25">
      <c r="D551" s="105">
        <v>44678</v>
      </c>
    </row>
    <row r="552" spans="1:13" ht="27.75" customHeight="1" x14ac:dyDescent="0.25">
      <c r="D552" s="102">
        <v>44678</v>
      </c>
    </row>
    <row r="553" spans="1:13" ht="27.75" customHeight="1" x14ac:dyDescent="0.25">
      <c r="D553" s="105">
        <v>44680</v>
      </c>
    </row>
    <row r="554" spans="1:13" ht="27.75" customHeight="1" x14ac:dyDescent="0.25">
      <c r="D554" s="102">
        <v>44690</v>
      </c>
    </row>
    <row r="555" spans="1:13" ht="27.75" customHeight="1" x14ac:dyDescent="0.25">
      <c r="D555" s="105">
        <v>44694</v>
      </c>
    </row>
    <row r="556" spans="1:13" ht="27.75" customHeight="1" x14ac:dyDescent="0.25">
      <c r="D556" s="102">
        <v>44722</v>
      </c>
    </row>
    <row r="557" spans="1:13" ht="27.75" customHeight="1" x14ac:dyDescent="0.25">
      <c r="D557" s="105">
        <v>44733</v>
      </c>
    </row>
    <row r="558" spans="1:13" ht="27.75" customHeight="1" x14ac:dyDescent="0.25">
      <c r="D558" s="102">
        <v>44742</v>
      </c>
    </row>
    <row r="559" spans="1:13" ht="27.75" customHeight="1" x14ac:dyDescent="0.25">
      <c r="D559" s="105">
        <v>44753</v>
      </c>
    </row>
    <row r="560" spans="1:13" ht="27.75" customHeight="1" x14ac:dyDescent="0.25">
      <c r="D560" s="102">
        <v>44768</v>
      </c>
    </row>
    <row r="561" spans="1:13" ht="27.75" customHeight="1" x14ac:dyDescent="0.25">
      <c r="D561" s="105">
        <v>44768</v>
      </c>
    </row>
    <row r="562" spans="1:13" ht="27.75" customHeight="1" x14ac:dyDescent="0.25">
      <c r="D562" s="102">
        <v>44771</v>
      </c>
    </row>
    <row r="563" spans="1:13" ht="27.75" customHeight="1" x14ac:dyDescent="0.25">
      <c r="D563" s="105">
        <v>44789</v>
      </c>
    </row>
    <row r="564" spans="1:13" ht="27.75" customHeight="1" x14ac:dyDescent="0.25">
      <c r="D564" s="102">
        <v>44789</v>
      </c>
    </row>
    <row r="565" spans="1:13" ht="27.75" customHeight="1" x14ac:dyDescent="0.25">
      <c r="D565" s="105">
        <v>44795</v>
      </c>
    </row>
    <row r="566" spans="1:13" ht="27.75" customHeight="1" x14ac:dyDescent="0.25">
      <c r="D566" s="102">
        <v>44803</v>
      </c>
    </row>
    <row r="567" spans="1:13" ht="27.75" customHeight="1" x14ac:dyDescent="0.25">
      <c r="D567" s="105">
        <v>44804</v>
      </c>
    </row>
    <row r="568" spans="1:13" ht="27.75" customHeight="1" x14ac:dyDescent="0.25">
      <c r="D568" s="102">
        <v>44804</v>
      </c>
    </row>
    <row r="569" spans="1:13" ht="27.75" customHeight="1" x14ac:dyDescent="0.25">
      <c r="D569" s="105">
        <v>44827</v>
      </c>
    </row>
    <row r="570" spans="1:13" ht="27.75" customHeight="1" x14ac:dyDescent="0.25">
      <c r="D570" s="102">
        <v>44838</v>
      </c>
    </row>
    <row r="571" spans="1:13" ht="27.75" customHeight="1" x14ac:dyDescent="0.25">
      <c r="D571" s="105">
        <v>44840</v>
      </c>
    </row>
    <row r="572" spans="1:13" ht="27.75" customHeight="1" x14ac:dyDescent="0.25">
      <c r="D572" s="102">
        <v>44840</v>
      </c>
    </row>
    <row r="573" spans="1:13" ht="27.75" customHeight="1" x14ac:dyDescent="0.25">
      <c r="D573" s="105">
        <v>44860</v>
      </c>
    </row>
    <row r="574" spans="1:13" ht="27.75" customHeight="1" x14ac:dyDescent="0.25">
      <c r="D574" s="102">
        <v>44862</v>
      </c>
    </row>
    <row r="575" spans="1:13" ht="27.75" customHeight="1" x14ac:dyDescent="0.25">
      <c r="D575" s="105">
        <v>44862</v>
      </c>
    </row>
    <row r="576" spans="1:13" ht="27.75" customHeight="1" x14ac:dyDescent="0.25">
      <c r="D576" s="102">
        <v>44862</v>
      </c>
    </row>
    <row r="577" spans="1:13" ht="27.75" customHeight="1" x14ac:dyDescent="0.25">
      <c r="D577" s="105">
        <v>44862</v>
      </c>
    </row>
    <row r="578" spans="1:13" ht="27.75" customHeight="1" x14ac:dyDescent="0.25">
      <c r="D578" s="102">
        <v>44862</v>
      </c>
    </row>
    <row r="579" spans="1:13" ht="27.75" customHeight="1" x14ac:dyDescent="0.25">
      <c r="D579" s="105">
        <v>44862</v>
      </c>
    </row>
    <row r="580" spans="1:13" ht="27.75" customHeight="1" x14ac:dyDescent="0.25">
      <c r="D580" s="102">
        <v>44862</v>
      </c>
    </row>
    <row r="581" spans="1:13" ht="27.75" customHeight="1" x14ac:dyDescent="0.25">
      <c r="D581" s="105">
        <v>44862</v>
      </c>
    </row>
    <row r="582" spans="1:13" ht="27.75" customHeight="1" x14ac:dyDescent="0.25">
      <c r="D582" s="102">
        <v>44862</v>
      </c>
    </row>
    <row r="583" spans="1:13" ht="27.75" customHeight="1" x14ac:dyDescent="0.25">
      <c r="D583" s="105">
        <v>44862</v>
      </c>
    </row>
    <row r="584" spans="1:13" ht="27.75" customHeight="1" x14ac:dyDescent="0.25">
      <c r="D584" s="102">
        <v>44875</v>
      </c>
    </row>
    <row r="585" spans="1:13" ht="27.75" customHeight="1" x14ac:dyDescent="0.25">
      <c r="D585" s="105">
        <v>44895</v>
      </c>
    </row>
    <row r="586" spans="1:13" ht="27.75" customHeight="1" x14ac:dyDescent="0.25">
      <c r="D586" s="102">
        <v>44895</v>
      </c>
    </row>
    <row r="587" spans="1:13" ht="27.75" customHeight="1" x14ac:dyDescent="0.25">
      <c r="D587" s="105">
        <v>44895</v>
      </c>
    </row>
    <row r="588" spans="1:13" ht="27.75" customHeight="1" x14ac:dyDescent="0.25">
      <c r="D588" s="102">
        <v>44901</v>
      </c>
    </row>
    <row r="589" spans="1:13" ht="27.75" customHeight="1" x14ac:dyDescent="0.25">
      <c r="D589" s="105">
        <v>44902</v>
      </c>
    </row>
    <row r="590" spans="1:13" ht="27.75" customHeight="1" x14ac:dyDescent="0.25">
      <c r="D590" s="102">
        <v>44907</v>
      </c>
    </row>
    <row r="591" spans="1:13" ht="27.75" customHeight="1" x14ac:dyDescent="0.25">
      <c r="D591" s="105">
        <v>44910</v>
      </c>
    </row>
    <row r="592" spans="1:13" ht="27.75" customHeight="1" x14ac:dyDescent="0.25">
      <c r="D592" s="102">
        <v>44910</v>
      </c>
    </row>
    <row r="593" spans="1:13" ht="27.75" customHeight="1" x14ac:dyDescent="0.25">
      <c r="D593" s="105">
        <v>44915</v>
      </c>
    </row>
    <row r="594" spans="1:13" ht="27.75" customHeight="1" x14ac:dyDescent="0.25">
      <c r="D594" s="102">
        <v>44915</v>
      </c>
    </row>
    <row r="595" spans="1:13" ht="27.75" customHeight="1" x14ac:dyDescent="0.25">
      <c r="D595" s="105">
        <v>44915</v>
      </c>
    </row>
    <row r="596" spans="1:13" ht="27.75" customHeight="1" x14ac:dyDescent="0.25">
      <c r="D596" s="102">
        <v>44916</v>
      </c>
    </row>
    <row r="597" spans="1:13" ht="27.75" customHeight="1" x14ac:dyDescent="0.25">
      <c r="D597" s="105">
        <v>44922</v>
      </c>
    </row>
    <row r="598" spans="1:13" ht="27.75" customHeight="1" x14ac:dyDescent="0.25">
      <c r="D598" s="102">
        <v>44922</v>
      </c>
    </row>
    <row r="599" spans="1:13" ht="27.75" customHeight="1" x14ac:dyDescent="0.25">
      <c r="D599" s="105">
        <v>44922</v>
      </c>
    </row>
    <row r="600" spans="1:13" ht="27.75" customHeight="1" x14ac:dyDescent="0.25">
      <c r="D600" s="102">
        <v>44926</v>
      </c>
    </row>
    <row r="601" spans="1:13" ht="27.75" customHeight="1" x14ac:dyDescent="0.25">
      <c r="D601" s="105">
        <v>44926</v>
      </c>
    </row>
    <row r="602" spans="1:13" ht="27.75" customHeight="1" x14ac:dyDescent="0.25">
      <c r="D602" s="102">
        <v>44926</v>
      </c>
    </row>
    <row r="603" spans="1:13" ht="27.75" customHeight="1" x14ac:dyDescent="0.25">
      <c r="D603" s="105">
        <v>44936</v>
      </c>
    </row>
    <row r="604" spans="1:13" ht="27.75" customHeight="1" x14ac:dyDescent="0.25">
      <c r="D604" s="102">
        <v>44936</v>
      </c>
    </row>
    <row r="605" spans="1:13" ht="27.75" customHeight="1" x14ac:dyDescent="0.25">
      <c r="D605" s="105">
        <v>44936</v>
      </c>
    </row>
    <row r="606" spans="1:13" ht="27.75" customHeight="1" x14ac:dyDescent="0.25">
      <c r="D606" s="102">
        <v>44939</v>
      </c>
    </row>
    <row r="607" spans="1:13" ht="27.75" customHeight="1" x14ac:dyDescent="0.25">
      <c r="D607" s="105">
        <v>44944</v>
      </c>
    </row>
    <row r="608" spans="1:13" ht="27.75" customHeight="1" x14ac:dyDescent="0.25">
      <c r="D608" s="102">
        <v>44944</v>
      </c>
    </row>
    <row r="609" spans="1:13" ht="27.75" customHeight="1" x14ac:dyDescent="0.25">
      <c r="D609" s="105">
        <v>44945</v>
      </c>
    </row>
    <row r="610" spans="1:13" ht="27.75" customHeight="1" x14ac:dyDescent="0.25">
      <c r="D610" s="102">
        <v>44952</v>
      </c>
    </row>
    <row r="611" spans="1:13" ht="27.75" customHeight="1" x14ac:dyDescent="0.25">
      <c r="D611" s="105">
        <v>44952</v>
      </c>
    </row>
    <row r="612" spans="1:13" ht="27.75" customHeight="1" x14ac:dyDescent="0.25">
      <c r="D612" s="102">
        <v>44970</v>
      </c>
    </row>
    <row r="613" spans="1:13" ht="27.75" customHeight="1" x14ac:dyDescent="0.25">
      <c r="D613" s="105">
        <v>44970</v>
      </c>
    </row>
    <row r="614" spans="1:13" ht="27.75" customHeight="1" x14ac:dyDescent="0.25">
      <c r="D614" s="102">
        <v>44970</v>
      </c>
    </row>
    <row r="615" spans="1:13" ht="27.75" customHeight="1" x14ac:dyDescent="0.25">
      <c r="D615" s="105">
        <v>44971</v>
      </c>
    </row>
    <row r="616" spans="1:13" ht="27.75" customHeight="1" x14ac:dyDescent="0.25">
      <c r="D616" s="102">
        <v>44977</v>
      </c>
    </row>
    <row r="617" spans="1:13" ht="27.75" customHeight="1" x14ac:dyDescent="0.25">
      <c r="D617" s="105">
        <v>44980</v>
      </c>
    </row>
    <row r="618" spans="1:13" ht="27.75" customHeight="1" x14ac:dyDescent="0.25">
      <c r="D618" s="102">
        <v>44980</v>
      </c>
    </row>
    <row r="619" spans="1:13" ht="27.75" customHeight="1" x14ac:dyDescent="0.25">
      <c r="D619" s="105">
        <v>44985</v>
      </c>
    </row>
    <row r="620" spans="1:13" ht="27.75" customHeight="1" x14ac:dyDescent="0.25">
      <c r="D620" s="102">
        <v>44985</v>
      </c>
    </row>
    <row r="621" spans="1:13" ht="27.75" customHeight="1" x14ac:dyDescent="0.25">
      <c r="D621" s="105">
        <v>44985</v>
      </c>
    </row>
    <row r="622" spans="1:13" ht="27.75" customHeight="1" x14ac:dyDescent="0.25">
      <c r="D622" s="102">
        <v>44985</v>
      </c>
    </row>
    <row r="623" spans="1:13" ht="27.75" customHeight="1" x14ac:dyDescent="0.25">
      <c r="D623" s="105">
        <v>44985</v>
      </c>
    </row>
    <row r="624" spans="1:13" ht="27.75" customHeight="1" x14ac:dyDescent="0.25">
      <c r="D624" s="102">
        <v>45008</v>
      </c>
    </row>
    <row r="625" spans="1:13" ht="27.75" customHeight="1" x14ac:dyDescent="0.25">
      <c r="D625" s="105">
        <v>45012</v>
      </c>
    </row>
    <row r="626" spans="1:13" ht="27.75" customHeight="1" x14ac:dyDescent="0.25">
      <c r="D626" s="102">
        <v>45012</v>
      </c>
    </row>
    <row r="627" spans="1:13" ht="27.75" customHeight="1" x14ac:dyDescent="0.25">
      <c r="D627" s="105">
        <v>45012</v>
      </c>
    </row>
    <row r="628" spans="1:13" ht="27.75" customHeight="1" x14ac:dyDescent="0.25">
      <c r="D628" s="102">
        <v>45012</v>
      </c>
    </row>
    <row r="629" spans="1:13" ht="27.75" customHeight="1" x14ac:dyDescent="0.25">
      <c r="D629" s="105">
        <v>45012</v>
      </c>
    </row>
    <row r="630" spans="1:13" ht="27.75" customHeight="1" x14ac:dyDescent="0.25">
      <c r="D630" s="102">
        <v>45013</v>
      </c>
    </row>
    <row r="631" spans="1:13" ht="27.75" customHeight="1" x14ac:dyDescent="0.25">
      <c r="D631" s="105">
        <v>45013</v>
      </c>
    </row>
    <row r="632" spans="1:13" ht="27.75" customHeight="1" x14ac:dyDescent="0.25">
      <c r="D632" s="102">
        <v>45022</v>
      </c>
    </row>
    <row r="633" spans="1:13" ht="27.75" customHeight="1" x14ac:dyDescent="0.25">
      <c r="D633" s="105">
        <v>45022</v>
      </c>
    </row>
    <row r="634" spans="1:13" ht="27.75" customHeight="1" x14ac:dyDescent="0.25">
      <c r="D634" s="102">
        <v>45022</v>
      </c>
    </row>
    <row r="635" spans="1:13" ht="27.75" customHeight="1" x14ac:dyDescent="0.25">
      <c r="D635" s="105">
        <v>45022</v>
      </c>
    </row>
    <row r="636" spans="1:13" ht="27.75" customHeight="1" x14ac:dyDescent="0.25">
      <c r="D636" s="102">
        <v>45023</v>
      </c>
    </row>
    <row r="637" spans="1:13" ht="27.75" customHeight="1" x14ac:dyDescent="0.25">
      <c r="D637" s="105">
        <v>45027</v>
      </c>
    </row>
    <row r="638" spans="1:13" ht="27.75" customHeight="1" x14ac:dyDescent="0.25">
      <c r="D638" s="102">
        <v>45027</v>
      </c>
    </row>
    <row r="639" spans="1:13" ht="27.75" customHeight="1" x14ac:dyDescent="0.25">
      <c r="D639" s="105">
        <v>45027</v>
      </c>
    </row>
    <row r="640" spans="1:13" ht="27.75" customHeight="1" x14ac:dyDescent="0.25">
      <c r="D640" s="102">
        <v>45027</v>
      </c>
    </row>
    <row r="641" spans="1:13" ht="27.75" customHeight="1" x14ac:dyDescent="0.25">
      <c r="D641" s="105">
        <v>45027</v>
      </c>
    </row>
    <row r="642" spans="1:13" ht="27.75" customHeight="1" x14ac:dyDescent="0.25">
      <c r="D642" s="102">
        <v>45027</v>
      </c>
    </row>
    <row r="643" spans="1:13" ht="27.75" customHeight="1" x14ac:dyDescent="0.25">
      <c r="D643" s="105">
        <v>45027</v>
      </c>
    </row>
    <row r="644" spans="1:13" ht="27.75" customHeight="1" x14ac:dyDescent="0.25">
      <c r="D644" s="102">
        <v>45027</v>
      </c>
    </row>
    <row r="645" spans="1:13" ht="27.75" customHeight="1" x14ac:dyDescent="0.25">
      <c r="D645" s="105">
        <v>45030</v>
      </c>
    </row>
    <row r="646" spans="1:13" ht="27.75" customHeight="1" x14ac:dyDescent="0.25">
      <c r="D646" s="102">
        <v>45034</v>
      </c>
    </row>
    <row r="647" spans="1:13" ht="27.75" customHeight="1" x14ac:dyDescent="0.25">
      <c r="D647" s="105">
        <v>45034</v>
      </c>
    </row>
    <row r="648" spans="1:13" ht="27.75" customHeight="1" x14ac:dyDescent="0.25">
      <c r="D648" s="102">
        <v>45034</v>
      </c>
    </row>
    <row r="649" spans="1:13" ht="27.75" customHeight="1" x14ac:dyDescent="0.25">
      <c r="D649" s="105">
        <v>45034</v>
      </c>
    </row>
    <row r="650" spans="1:13" ht="27.75" customHeight="1" x14ac:dyDescent="0.25">
      <c r="D650" s="102">
        <v>45034</v>
      </c>
    </row>
    <row r="651" spans="1:13" ht="27.75" customHeight="1" x14ac:dyDescent="0.25">
      <c r="D651" s="105">
        <v>45037</v>
      </c>
    </row>
    <row r="652" spans="1:13" ht="27.75" customHeight="1" x14ac:dyDescent="0.25">
      <c r="D652" s="102">
        <v>45040</v>
      </c>
    </row>
    <row r="653" spans="1:13" ht="27.75" customHeight="1" x14ac:dyDescent="0.25">
      <c r="D653" s="105">
        <v>45041</v>
      </c>
    </row>
    <row r="654" spans="1:13" ht="27.75" customHeight="1" x14ac:dyDescent="0.25">
      <c r="D654" s="102">
        <v>45044</v>
      </c>
    </row>
    <row r="655" spans="1:13" ht="27.75" customHeight="1" x14ac:dyDescent="0.25">
      <c r="D655" s="105">
        <v>45044</v>
      </c>
    </row>
    <row r="656" spans="1:13" ht="27.75" customHeight="1" x14ac:dyDescent="0.25">
      <c r="D656" s="102">
        <v>45044</v>
      </c>
    </row>
    <row r="657" spans="1:13" ht="27.75" customHeight="1" x14ac:dyDescent="0.25">
      <c r="D657" s="105">
        <v>45044</v>
      </c>
    </row>
    <row r="658" spans="1:13" ht="27.75" customHeight="1" x14ac:dyDescent="0.25">
      <c r="D658" s="102">
        <v>45044</v>
      </c>
    </row>
    <row r="659" spans="1:13" ht="27.75" customHeight="1" x14ac:dyDescent="0.25">
      <c r="D659" s="105">
        <v>45044</v>
      </c>
    </row>
    <row r="660" spans="1:13" ht="27.75" customHeight="1" x14ac:dyDescent="0.25">
      <c r="D660" s="102">
        <v>45044</v>
      </c>
    </row>
    <row r="661" spans="1:13" ht="27.75" customHeight="1" x14ac:dyDescent="0.25">
      <c r="D661" s="105">
        <v>45071</v>
      </c>
    </row>
    <row r="662" spans="1:13" ht="27.75" customHeight="1" x14ac:dyDescent="0.25">
      <c r="D662" s="102">
        <v>45072</v>
      </c>
    </row>
    <row r="663" spans="1:13" ht="27.75" customHeight="1" x14ac:dyDescent="0.25">
      <c r="D663" s="105">
        <v>45073</v>
      </c>
    </row>
    <row r="664" spans="1:13" ht="27.75" customHeight="1" x14ac:dyDescent="0.25">
      <c r="D664" s="102">
        <v>45076</v>
      </c>
    </row>
    <row r="665" spans="1:13" ht="27.75" customHeight="1" x14ac:dyDescent="0.25">
      <c r="D665" s="105">
        <v>45076</v>
      </c>
    </row>
    <row r="666" spans="1:13" ht="27.75" customHeight="1" x14ac:dyDescent="0.25">
      <c r="D666" s="102">
        <v>45077</v>
      </c>
    </row>
    <row r="667" spans="1:13" ht="27.75" customHeight="1" x14ac:dyDescent="0.25">
      <c r="D667" s="105">
        <v>45098</v>
      </c>
    </row>
    <row r="668" spans="1:13" ht="27.75" customHeight="1" x14ac:dyDescent="0.25">
      <c r="D668" s="102">
        <v>45098</v>
      </c>
    </row>
    <row r="669" spans="1:13" ht="27.75" customHeight="1" x14ac:dyDescent="0.25">
      <c r="D669" s="105">
        <v>45098</v>
      </c>
    </row>
    <row r="670" spans="1:13" ht="27.75" customHeight="1" x14ac:dyDescent="0.25">
      <c r="D670" s="102">
        <v>45098</v>
      </c>
    </row>
    <row r="671" spans="1:13" ht="27.75" customHeight="1" x14ac:dyDescent="0.25">
      <c r="D671" s="105">
        <v>45104</v>
      </c>
    </row>
    <row r="672" spans="1:13" ht="27.75" customHeight="1" x14ac:dyDescent="0.25">
      <c r="D672" s="102">
        <v>45104</v>
      </c>
    </row>
    <row r="673" spans="1:13" ht="27.75" customHeight="1" x14ac:dyDescent="0.25">
      <c r="D673" s="105">
        <v>45107</v>
      </c>
    </row>
    <row r="674" spans="1:13" ht="27.75" customHeight="1" x14ac:dyDescent="0.25">
      <c r="D674" s="102">
        <v>45107</v>
      </c>
    </row>
    <row r="675" spans="1:13" ht="27.75" customHeight="1" x14ac:dyDescent="0.25">
      <c r="D675" s="105">
        <v>45107</v>
      </c>
    </row>
    <row r="676" spans="1:13" ht="27.75" customHeight="1" x14ac:dyDescent="0.25">
      <c r="D676" s="102">
        <v>45107</v>
      </c>
    </row>
    <row r="677" spans="1:13" ht="27.75" customHeight="1" x14ac:dyDescent="0.25">
      <c r="D677" s="105">
        <v>45107</v>
      </c>
    </row>
    <row r="678" spans="1:13" ht="27.75" customHeight="1" x14ac:dyDescent="0.25">
      <c r="D678" s="102">
        <v>45107</v>
      </c>
    </row>
    <row r="679" spans="1:13" ht="27.75" customHeight="1" x14ac:dyDescent="0.25">
      <c r="D679" s="105">
        <v>45107</v>
      </c>
    </row>
    <row r="680" spans="1:13" ht="27.75" customHeight="1" x14ac:dyDescent="0.25">
      <c r="D680" s="102">
        <v>45110</v>
      </c>
    </row>
    <row r="681" spans="1:13" ht="27.75" customHeight="1" x14ac:dyDescent="0.25">
      <c r="D681" s="105">
        <v>45113</v>
      </c>
    </row>
    <row r="682" spans="1:13" ht="27.75" customHeight="1" x14ac:dyDescent="0.25">
      <c r="D682" s="102">
        <v>45119</v>
      </c>
    </row>
    <row r="683" spans="1:13" ht="27.75" customHeight="1" x14ac:dyDescent="0.25">
      <c r="D683" s="105">
        <v>45131</v>
      </c>
    </row>
    <row r="684" spans="1:13" ht="27.75" customHeight="1" x14ac:dyDescent="0.25">
      <c r="D684" s="102">
        <v>45131</v>
      </c>
    </row>
    <row r="685" spans="1:13" ht="27.75" customHeight="1" x14ac:dyDescent="0.25">
      <c r="D685" s="105">
        <v>45131</v>
      </c>
    </row>
    <row r="686" spans="1:13" ht="27.75" customHeight="1" x14ac:dyDescent="0.25">
      <c r="D686" s="102">
        <v>45131</v>
      </c>
    </row>
    <row r="687" spans="1:13" ht="27.75" customHeight="1" x14ac:dyDescent="0.25">
      <c r="D687" s="105">
        <v>45143</v>
      </c>
    </row>
    <row r="688" spans="1:13" ht="27.75" customHeight="1" x14ac:dyDescent="0.25">
      <c r="D688" s="102">
        <v>45145</v>
      </c>
    </row>
    <row r="689" spans="1:13" ht="27.75" customHeight="1" x14ac:dyDescent="0.25">
      <c r="D689" s="105">
        <v>45145</v>
      </c>
    </row>
    <row r="690" spans="1:13" ht="27.75" customHeight="1" x14ac:dyDescent="0.25">
      <c r="D690" s="102">
        <v>45148</v>
      </c>
    </row>
    <row r="691" spans="1:13" ht="27.75" customHeight="1" x14ac:dyDescent="0.25">
      <c r="D691" s="105">
        <v>45149</v>
      </c>
    </row>
    <row r="692" spans="1:13" ht="27.75" customHeight="1" x14ac:dyDescent="0.25">
      <c r="D692" s="102">
        <v>45149</v>
      </c>
    </row>
    <row r="693" spans="1:13" ht="27.75" customHeight="1" x14ac:dyDescent="0.25">
      <c r="D693" s="105">
        <v>45153</v>
      </c>
    </row>
    <row r="694" spans="1:13" ht="27.75" customHeight="1" x14ac:dyDescent="0.25">
      <c r="D694" s="102">
        <v>45157</v>
      </c>
    </row>
    <row r="695" spans="1:13" ht="27.75" customHeight="1" x14ac:dyDescent="0.25">
      <c r="D695" s="105">
        <v>45157</v>
      </c>
    </row>
    <row r="696" spans="1:13" ht="27.75" customHeight="1" x14ac:dyDescent="0.25">
      <c r="D696" s="102">
        <v>45157</v>
      </c>
    </row>
    <row r="697" spans="1:13" ht="27.75" customHeight="1" x14ac:dyDescent="0.25">
      <c r="D697" s="105">
        <v>45166</v>
      </c>
    </row>
    <row r="698" spans="1:13" ht="27.75" customHeight="1" x14ac:dyDescent="0.25">
      <c r="D698" s="102">
        <v>45169</v>
      </c>
    </row>
    <row r="699" spans="1:13" ht="27.75" customHeight="1" x14ac:dyDescent="0.25">
      <c r="D699" s="105">
        <v>45169</v>
      </c>
    </row>
    <row r="700" spans="1:13" ht="27.75" customHeight="1" x14ac:dyDescent="0.25">
      <c r="D700" s="102">
        <v>45169</v>
      </c>
    </row>
    <row r="701" spans="1:13" ht="27.75" customHeight="1" x14ac:dyDescent="0.25">
      <c r="D701" s="105">
        <v>45171</v>
      </c>
    </row>
    <row r="702" spans="1:13" ht="27.75" customHeight="1" x14ac:dyDescent="0.25">
      <c r="D702" s="102">
        <v>45191</v>
      </c>
    </row>
    <row r="703" spans="1:13" ht="27.75" customHeight="1" x14ac:dyDescent="0.25">
      <c r="D703" s="105">
        <v>45191</v>
      </c>
    </row>
    <row r="704" spans="1:13" ht="27.75" customHeight="1" x14ac:dyDescent="0.25">
      <c r="D704" s="102">
        <v>45191</v>
      </c>
    </row>
    <row r="705" spans="1:13" ht="27.75" customHeight="1" x14ac:dyDescent="0.25">
      <c r="D705" s="105">
        <v>45196</v>
      </c>
    </row>
    <row r="706" spans="1:13" ht="27.75" customHeight="1" x14ac:dyDescent="0.25">
      <c r="D706" s="102">
        <v>45196</v>
      </c>
    </row>
    <row r="707" spans="1:13" ht="27.75" customHeight="1" x14ac:dyDescent="0.25">
      <c r="D707" s="105">
        <v>45198</v>
      </c>
    </row>
    <row r="708" spans="1:13" ht="27.75" customHeight="1" x14ac:dyDescent="0.25">
      <c r="D708" s="102">
        <v>45199</v>
      </c>
    </row>
    <row r="709" spans="1:13" ht="27.75" customHeight="1" x14ac:dyDescent="0.25">
      <c r="D709" s="105">
        <v>45201</v>
      </c>
    </row>
    <row r="710" spans="1:13" ht="27.75" customHeight="1" x14ac:dyDescent="0.25">
      <c r="D710" s="102">
        <v>45204</v>
      </c>
    </row>
    <row r="711" spans="1:13" ht="27.75" customHeight="1" x14ac:dyDescent="0.25">
      <c r="D711" s="105">
        <v>45204</v>
      </c>
    </row>
    <row r="712" spans="1:13" ht="27.75" customHeight="1" x14ac:dyDescent="0.25">
      <c r="D712" s="102">
        <v>45209</v>
      </c>
    </row>
    <row r="713" spans="1:13" ht="27.75" customHeight="1" x14ac:dyDescent="0.25">
      <c r="D713" s="105">
        <v>45211</v>
      </c>
    </row>
    <row r="714" spans="1:13" ht="27.75" customHeight="1" x14ac:dyDescent="0.25">
      <c r="D714" s="102">
        <v>45212</v>
      </c>
    </row>
    <row r="715" spans="1:13" ht="27.75" customHeight="1" x14ac:dyDescent="0.25">
      <c r="D715" s="105">
        <v>45212</v>
      </c>
    </row>
    <row r="716" spans="1:13" ht="27.75" customHeight="1" x14ac:dyDescent="0.25">
      <c r="D716" s="102">
        <v>45222</v>
      </c>
    </row>
    <row r="717" spans="1:13" ht="27.75" customHeight="1" x14ac:dyDescent="0.25">
      <c r="D717" s="105">
        <v>45224</v>
      </c>
    </row>
    <row r="718" spans="1:13" ht="27.75" customHeight="1" x14ac:dyDescent="0.25">
      <c r="D718" s="102">
        <v>45224</v>
      </c>
    </row>
    <row r="719" spans="1:13" ht="27.75" customHeight="1" x14ac:dyDescent="0.25">
      <c r="D719" s="105">
        <v>45224</v>
      </c>
    </row>
    <row r="720" spans="1:13" ht="27.75" customHeight="1" x14ac:dyDescent="0.25">
      <c r="D720" s="102">
        <v>45225</v>
      </c>
    </row>
    <row r="721" spans="1:13" ht="27.75" customHeight="1" x14ac:dyDescent="0.25">
      <c r="D721" s="105">
        <v>45225</v>
      </c>
    </row>
    <row r="722" spans="1:13" ht="27.75" customHeight="1" x14ac:dyDescent="0.25">
      <c r="D722" s="102">
        <v>45229</v>
      </c>
    </row>
    <row r="723" spans="1:13" ht="27.75" customHeight="1" x14ac:dyDescent="0.25">
      <c r="D723" s="105">
        <v>45229</v>
      </c>
    </row>
    <row r="724" spans="1:13" ht="27.75" customHeight="1" x14ac:dyDescent="0.25">
      <c r="D724" s="102">
        <v>45236</v>
      </c>
    </row>
    <row r="725" spans="1:13" ht="27.75" customHeight="1" x14ac:dyDescent="0.25">
      <c r="D725" s="105">
        <v>45237</v>
      </c>
    </row>
    <row r="726" spans="1:13" ht="27.75" customHeight="1" x14ac:dyDescent="0.25">
      <c r="D726" s="102">
        <v>45239</v>
      </c>
    </row>
    <row r="727" spans="1:13" ht="27.75" customHeight="1" x14ac:dyDescent="0.25">
      <c r="D727" s="105">
        <v>45239</v>
      </c>
    </row>
    <row r="728" spans="1:13" ht="27.75" customHeight="1" x14ac:dyDescent="0.25">
      <c r="D728" s="102">
        <v>45250</v>
      </c>
    </row>
    <row r="729" spans="1:13" ht="27.75" customHeight="1" x14ac:dyDescent="0.25">
      <c r="D729" s="105">
        <v>45250</v>
      </c>
    </row>
    <row r="730" spans="1:13" ht="27.75" customHeight="1" x14ac:dyDescent="0.25">
      <c r="D730" s="102">
        <v>45250</v>
      </c>
    </row>
    <row r="731" spans="1:13" ht="27.75" customHeight="1" x14ac:dyDescent="0.25">
      <c r="D731" s="105">
        <v>45250</v>
      </c>
    </row>
    <row r="732" spans="1:13" ht="27.75" customHeight="1" x14ac:dyDescent="0.25">
      <c r="D732" s="102">
        <v>45250</v>
      </c>
    </row>
    <row r="733" spans="1:13" ht="27.75" customHeight="1" x14ac:dyDescent="0.25">
      <c r="D733" s="105">
        <v>45250</v>
      </c>
    </row>
    <row r="734" spans="1:13" ht="27.75" customHeight="1" x14ac:dyDescent="0.25">
      <c r="D734" s="102">
        <v>45251</v>
      </c>
    </row>
    <row r="735" spans="1:13" ht="27.75" customHeight="1" x14ac:dyDescent="0.25">
      <c r="D735" s="105">
        <v>45251</v>
      </c>
    </row>
    <row r="736" spans="1:13" ht="27.75" customHeight="1" x14ac:dyDescent="0.25">
      <c r="D736" s="102">
        <v>45251</v>
      </c>
    </row>
    <row r="737" spans="1:13" ht="27.75" customHeight="1" x14ac:dyDescent="0.25">
      <c r="D737" s="105">
        <v>45252</v>
      </c>
    </row>
    <row r="738" spans="1:13" ht="27.75" customHeight="1" x14ac:dyDescent="0.25">
      <c r="D738" s="102">
        <v>45260</v>
      </c>
    </row>
    <row r="739" spans="1:13" ht="27.75" customHeight="1" x14ac:dyDescent="0.25">
      <c r="D739" s="105">
        <v>45267</v>
      </c>
    </row>
    <row r="740" spans="1:13" ht="27.75" customHeight="1" x14ac:dyDescent="0.25">
      <c r="D740" s="102">
        <v>45271</v>
      </c>
    </row>
    <row r="741" spans="1:13" ht="27.75" customHeight="1" x14ac:dyDescent="0.25">
      <c r="D741" s="105">
        <v>45282</v>
      </c>
    </row>
    <row r="742" spans="1:13" ht="27.75" customHeight="1" x14ac:dyDescent="0.25">
      <c r="D742" s="102">
        <v>45288</v>
      </c>
    </row>
    <row r="743" spans="1:13" ht="27.75" customHeight="1" x14ac:dyDescent="0.25">
      <c r="D743" s="105">
        <v>45289</v>
      </c>
    </row>
    <row r="744" spans="1:13" ht="27.75" customHeight="1" x14ac:dyDescent="0.25">
      <c r="D744" s="102">
        <v>45329</v>
      </c>
    </row>
    <row r="745" spans="1:13" ht="27.75" customHeight="1" x14ac:dyDescent="0.25">
      <c r="D745" s="105">
        <v>45350</v>
      </c>
    </row>
    <row r="746" spans="1:13" ht="27.75" customHeight="1" x14ac:dyDescent="0.25">
      <c r="D746" s="102">
        <v>45350</v>
      </c>
    </row>
    <row r="747" spans="1:13" ht="27.75" customHeight="1" x14ac:dyDescent="0.25">
      <c r="D747" s="105">
        <v>45358</v>
      </c>
    </row>
    <row r="748" spans="1:13" ht="27.75" customHeight="1" x14ac:dyDescent="0.25">
      <c r="D748" s="102">
        <v>45358</v>
      </c>
    </row>
    <row r="749" spans="1:13" ht="27.75" customHeight="1" x14ac:dyDescent="0.25">
      <c r="D749" s="105">
        <v>45358</v>
      </c>
    </row>
    <row r="750" spans="1:13" ht="27.75" customHeight="1" x14ac:dyDescent="0.25">
      <c r="D750" s="102">
        <v>45358</v>
      </c>
    </row>
    <row r="751" spans="1:13" ht="27.75" customHeight="1" x14ac:dyDescent="0.25">
      <c r="D751" s="105">
        <v>45359</v>
      </c>
    </row>
    <row r="752" spans="1:13" ht="27.75" customHeight="1" x14ac:dyDescent="0.25">
      <c r="D752" s="102">
        <v>45359</v>
      </c>
    </row>
    <row r="753" spans="1:13" ht="27.75" customHeight="1" x14ac:dyDescent="0.25">
      <c r="D753" s="105">
        <v>45387</v>
      </c>
    </row>
    <row r="754" spans="1:13" ht="27.75" customHeight="1" x14ac:dyDescent="0.25">
      <c r="D754" s="102">
        <v>45387</v>
      </c>
    </row>
    <row r="755" spans="1:13" ht="27.75" customHeight="1" x14ac:dyDescent="0.25">
      <c r="D755" s="105">
        <v>45387</v>
      </c>
    </row>
    <row r="756" spans="1:13" ht="27.75" customHeight="1" x14ac:dyDescent="0.25">
      <c r="D756" s="102">
        <v>45406</v>
      </c>
    </row>
    <row r="757" spans="1:13" ht="27.75" customHeight="1" x14ac:dyDescent="0.25">
      <c r="D757" s="105">
        <v>45412</v>
      </c>
    </row>
    <row r="758" spans="1:13" ht="27.75" customHeight="1" x14ac:dyDescent="0.25">
      <c r="D758" s="102">
        <v>45412</v>
      </c>
    </row>
    <row r="759" spans="1:13" ht="27.75" customHeight="1" x14ac:dyDescent="0.25">
      <c r="D759" s="105">
        <v>45415</v>
      </c>
    </row>
    <row r="760" spans="1:13" ht="27.75" customHeight="1" x14ac:dyDescent="0.25">
      <c r="D760" s="102">
        <v>45448</v>
      </c>
    </row>
    <row r="761" spans="1:13" ht="27.75" customHeight="1" x14ac:dyDescent="0.25">
      <c r="D761" s="105">
        <v>45481</v>
      </c>
    </row>
    <row r="762" spans="1:13" ht="27.75" customHeight="1" x14ac:dyDescent="0.25">
      <c r="D762" s="102">
        <v>45484</v>
      </c>
    </row>
    <row r="763" spans="1:13" ht="27.75" customHeight="1" x14ac:dyDescent="0.25">
      <c r="D763" s="105">
        <v>45484</v>
      </c>
    </row>
    <row r="764" spans="1:13" ht="27.75" customHeight="1" x14ac:dyDescent="0.25">
      <c r="D764" s="102">
        <v>45491</v>
      </c>
    </row>
    <row r="765" spans="1:13" ht="27.75" customHeight="1" x14ac:dyDescent="0.25">
      <c r="D765" s="105">
        <v>45499</v>
      </c>
    </row>
    <row r="766" spans="1:13" ht="27.75" customHeight="1" x14ac:dyDescent="0.25">
      <c r="D766" s="102">
        <v>45499</v>
      </c>
    </row>
    <row r="767" spans="1:13" ht="27.75" customHeight="1" x14ac:dyDescent="0.25">
      <c r="D767" s="105">
        <v>45521</v>
      </c>
    </row>
    <row r="768" spans="1:13" ht="27.75" customHeight="1" x14ac:dyDescent="0.25">
      <c r="D768" s="102">
        <v>45548</v>
      </c>
    </row>
    <row r="769" spans="1:13" ht="27.75" customHeight="1" x14ac:dyDescent="0.25">
      <c r="D769" s="105">
        <v>45548</v>
      </c>
    </row>
    <row r="770" spans="1:13" ht="27.75" customHeight="1" x14ac:dyDescent="0.25">
      <c r="D770" s="102">
        <v>45554</v>
      </c>
    </row>
    <row r="771" spans="1:13" ht="27.75" customHeight="1" x14ac:dyDescent="0.25">
      <c r="D771" s="105">
        <v>45561</v>
      </c>
    </row>
    <row r="772" spans="1:13" ht="27.75" customHeight="1" x14ac:dyDescent="0.25">
      <c r="D772" s="102">
        <v>45586</v>
      </c>
    </row>
    <row r="773" spans="1:13" ht="27.75" customHeight="1" x14ac:dyDescent="0.25">
      <c r="D773" s="105">
        <v>45586</v>
      </c>
    </row>
    <row r="774" spans="1:13" ht="27.75" customHeight="1" x14ac:dyDescent="0.25">
      <c r="D774" s="102">
        <v>45589</v>
      </c>
    </row>
    <row r="775" spans="1:13" ht="27.75" customHeight="1" x14ac:dyDescent="0.25">
      <c r="D775" s="105">
        <v>45614</v>
      </c>
    </row>
    <row r="776" spans="1:13" ht="27.75" customHeight="1" x14ac:dyDescent="0.25">
      <c r="D776" s="102">
        <v>45614</v>
      </c>
    </row>
    <row r="777" spans="1:13" ht="27.75" customHeight="1" x14ac:dyDescent="0.25">
      <c r="D777" s="105">
        <v>45625</v>
      </c>
    </row>
    <row r="778" spans="1:13" ht="27.75" customHeight="1" x14ac:dyDescent="0.25">
      <c r="D778" s="102">
        <v>45632</v>
      </c>
    </row>
    <row r="779" spans="1:13" ht="27.75" customHeight="1" x14ac:dyDescent="0.25">
      <c r="D779" s="105">
        <v>45646</v>
      </c>
    </row>
    <row r="780" spans="1:13" ht="27.75" customHeight="1" x14ac:dyDescent="0.25">
      <c r="D780" s="102">
        <v>45646</v>
      </c>
    </row>
    <row r="781" spans="1:13" ht="27.75" customHeight="1" x14ac:dyDescent="0.25">
      <c r="D781" s="105">
        <v>45646</v>
      </c>
    </row>
    <row r="782" spans="1:13" ht="27.75" customHeight="1" x14ac:dyDescent="0.25">
      <c r="D782" s="102">
        <v>45646</v>
      </c>
    </row>
    <row r="783" spans="1:13" ht="27.75" customHeight="1" x14ac:dyDescent="0.25">
      <c r="D783" s="105">
        <v>45688</v>
      </c>
    </row>
    <row r="784" spans="1:13" ht="27.75" customHeight="1" x14ac:dyDescent="0.25">
      <c r="D784" s="102">
        <v>45695</v>
      </c>
    </row>
    <row r="785" spans="1:13" ht="27.75" customHeight="1" x14ac:dyDescent="0.25">
      <c r="D785" s="105">
        <v>45695</v>
      </c>
    </row>
    <row r="786" spans="1:13" ht="27.75" customHeight="1" x14ac:dyDescent="0.25">
      <c r="D786" s="102">
        <v>45695</v>
      </c>
    </row>
    <row r="787" spans="1:13" ht="27.75" customHeight="1" x14ac:dyDescent="0.25">
      <c r="D787" s="105">
        <v>45695</v>
      </c>
    </row>
    <row r="788" spans="1:13" ht="27.75" customHeight="1" x14ac:dyDescent="0.25">
      <c r="D788" s="102">
        <v>45708</v>
      </c>
    </row>
    <row r="789" spans="1:13" ht="27.75" customHeight="1" x14ac:dyDescent="0.25">
      <c r="D789" s="105">
        <v>45708</v>
      </c>
    </row>
    <row r="790" spans="1:13" ht="27.75" customHeight="1" x14ac:dyDescent="0.25">
      <c r="D790" s="102">
        <v>45723</v>
      </c>
    </row>
    <row r="791" spans="1:13" ht="27.75" customHeight="1" x14ac:dyDescent="0.25">
      <c r="D791" s="105">
        <v>45723</v>
      </c>
    </row>
    <row r="792" spans="1:13" ht="27.75" customHeight="1" x14ac:dyDescent="0.25">
      <c r="D792" s="102">
        <v>45757</v>
      </c>
    </row>
    <row r="793" spans="1:13" ht="27.75" customHeight="1" x14ac:dyDescent="0.25">
      <c r="D793" s="105">
        <v>45757</v>
      </c>
    </row>
    <row r="794" spans="1:13" ht="27.75" customHeight="1" x14ac:dyDescent="0.25">
      <c r="D794" s="102">
        <v>45757</v>
      </c>
    </row>
    <row r="795" spans="1:13" ht="27.75" customHeight="1" x14ac:dyDescent="0.25">
      <c r="D795" s="105">
        <v>45757</v>
      </c>
    </row>
    <row r="796" spans="1:13" ht="27.75" customHeight="1" x14ac:dyDescent="0.25">
      <c r="D796" s="102">
        <v>45789</v>
      </c>
    </row>
    <row r="797" spans="1:13" ht="27.75" customHeight="1" x14ac:dyDescent="0.25">
      <c r="D797" s="105">
        <v>45819</v>
      </c>
    </row>
    <row r="798" spans="1:13" ht="27.75" customHeight="1" x14ac:dyDescent="0.25">
      <c r="D798" s="102">
        <v>45819</v>
      </c>
    </row>
    <row r="799" spans="1:13" ht="27.75" customHeight="1" x14ac:dyDescent="0.25">
      <c r="D799" s="105">
        <v>45819</v>
      </c>
    </row>
    <row r="800" spans="1:13" ht="27.75" customHeight="1" x14ac:dyDescent="0.25">
      <c r="D800" s="102">
        <v>45819</v>
      </c>
    </row>
    <row r="801" spans="1:13" ht="27.75" customHeight="1" x14ac:dyDescent="0.25">
      <c r="D801" s="105">
        <v>45819</v>
      </c>
    </row>
    <row r="802" spans="1:13" ht="27.75" customHeight="1" x14ac:dyDescent="0.25">
      <c r="D802" s="102">
        <v>45848</v>
      </c>
    </row>
    <row r="803" spans="1:13" ht="27.75" customHeight="1" x14ac:dyDescent="0.25">
      <c r="D803" s="105">
        <v>45848</v>
      </c>
    </row>
    <row r="804" spans="1:13" ht="27.75" customHeight="1" x14ac:dyDescent="0.25">
      <c r="D804" s="102">
        <v>45869</v>
      </c>
    </row>
    <row r="805" spans="1:13" ht="27.75" customHeight="1" x14ac:dyDescent="0.25">
      <c r="D805" s="105">
        <v>45869</v>
      </c>
    </row>
    <row r="806" spans="1:13" ht="27.75" customHeight="1" x14ac:dyDescent="0.25">
      <c r="D806" s="102">
        <v>45887</v>
      </c>
    </row>
    <row r="807" spans="1:13" ht="27.75" customHeight="1" x14ac:dyDescent="0.25">
      <c r="D807" s="105">
        <v>45889</v>
      </c>
    </row>
    <row r="808" spans="1:13" ht="27.75" customHeight="1" x14ac:dyDescent="0.25">
      <c r="D808" s="102">
        <v>45894</v>
      </c>
    </row>
    <row r="809" spans="1:13" ht="27.75" customHeight="1" x14ac:dyDescent="0.25">
      <c r="D809" s="105">
        <v>45904</v>
      </c>
    </row>
    <row r="810" spans="1:13" ht="27.75" customHeight="1" x14ac:dyDescent="0.25">
      <c r="D810" s="102">
        <v>45912</v>
      </c>
    </row>
    <row r="811" spans="1:13" ht="27.75" customHeight="1" x14ac:dyDescent="0.25">
      <c r="D811" s="105">
        <v>45912</v>
      </c>
    </row>
    <row r="812" spans="1:13" ht="27.75" customHeight="1" x14ac:dyDescent="0.25">
      <c r="D812" s="102">
        <v>45930</v>
      </c>
    </row>
    <row r="813" spans="1:13" ht="27.75" customHeight="1" x14ac:dyDescent="0.25">
      <c r="D813" s="105">
        <v>45973</v>
      </c>
    </row>
    <row r="814" spans="1:13" ht="27.75" customHeight="1" x14ac:dyDescent="0.25">
      <c r="D814" s="102">
        <v>45995</v>
      </c>
    </row>
    <row r="815" spans="1:13" ht="27.75" customHeight="1" x14ac:dyDescent="0.25">
      <c r="D815" s="105">
        <v>45996</v>
      </c>
    </row>
    <row r="816" spans="1:13" ht="27.75" customHeight="1" x14ac:dyDescent="0.25">
      <c r="D816" s="102">
        <v>46022</v>
      </c>
    </row>
    <row r="817" spans="1:13" ht="27.75" customHeight="1" x14ac:dyDescent="0.25">
      <c r="D817" s="105">
        <v>46022</v>
      </c>
    </row>
    <row r="818" spans="1:13" ht="27.75" customHeight="1" x14ac:dyDescent="0.25">
      <c r="D818" s="102">
        <v>46024</v>
      </c>
    </row>
    <row r="819" spans="1:13" ht="27.75" customHeight="1" x14ac:dyDescent="0.25">
      <c r="D819" s="105">
        <v>46036</v>
      </c>
    </row>
    <row r="820" spans="1:13" ht="27.75" customHeight="1" x14ac:dyDescent="0.25">
      <c r="D820" s="102">
        <v>46036</v>
      </c>
    </row>
    <row r="821" spans="1:13" ht="27.75" customHeight="1" x14ac:dyDescent="0.25">
      <c r="D821" s="105">
        <v>46036</v>
      </c>
    </row>
    <row r="822" spans="1:13" ht="27.75" customHeight="1" x14ac:dyDescent="0.25">
      <c r="D822" s="102">
        <v>46041</v>
      </c>
    </row>
    <row r="823" spans="1:13" ht="27.75" customHeight="1" x14ac:dyDescent="0.25">
      <c r="D823" s="105">
        <v>46045</v>
      </c>
    </row>
    <row r="824" spans="1:13" ht="27.75" customHeight="1" x14ac:dyDescent="0.25">
      <c r="D824" s="102">
        <v>46048</v>
      </c>
    </row>
    <row r="825" spans="1:13" ht="27.75" customHeight="1" x14ac:dyDescent="0.25">
      <c r="D825" s="105">
        <v>46059</v>
      </c>
    </row>
    <row r="826" spans="1:13" ht="27.75" customHeight="1" x14ac:dyDescent="0.25">
      <c r="D826" s="102">
        <v>46073</v>
      </c>
    </row>
    <row r="827" spans="1:13" ht="27.75" customHeight="1" x14ac:dyDescent="0.25">
      <c r="D827" s="105">
        <v>46092</v>
      </c>
    </row>
    <row r="828" spans="1:13" ht="27.75" customHeight="1" x14ac:dyDescent="0.25">
      <c r="D828" s="102">
        <v>46093</v>
      </c>
    </row>
    <row r="829" spans="1:13" ht="27.75" customHeight="1" x14ac:dyDescent="0.25">
      <c r="D829" s="105">
        <v>46108</v>
      </c>
    </row>
    <row r="830" spans="1:13" ht="27.75" customHeight="1" x14ac:dyDescent="0.25">
      <c r="D830" s="102">
        <v>46108</v>
      </c>
    </row>
    <row r="831" spans="1:13" ht="27.75" customHeight="1" x14ac:dyDescent="0.25">
      <c r="D831" s="105">
        <v>46122</v>
      </c>
    </row>
    <row r="832" spans="1:13" ht="27.75" customHeight="1" x14ac:dyDescent="0.25">
      <c r="D832" s="102">
        <v>46171</v>
      </c>
    </row>
    <row r="833" spans="1:13" ht="27.75" customHeight="1" x14ac:dyDescent="0.25">
      <c r="D833" s="105">
        <v>46171</v>
      </c>
    </row>
    <row r="834" spans="1:13" ht="27.75" customHeight="1" x14ac:dyDescent="0.25">
      <c r="D834" s="102">
        <v>46171</v>
      </c>
    </row>
    <row r="835" spans="1:13" ht="27.75" customHeight="1" x14ac:dyDescent="0.25">
      <c r="D835" s="105">
        <v>46181</v>
      </c>
    </row>
    <row r="836" spans="1:13" ht="27.75" customHeight="1" x14ac:dyDescent="0.25">
      <c r="D836" s="102">
        <v>46181</v>
      </c>
    </row>
    <row r="837" spans="1:13" ht="27.75" customHeight="1" x14ac:dyDescent="0.25">
      <c r="D837" s="105">
        <v>46220</v>
      </c>
    </row>
    <row r="838" spans="1:13" ht="27.75" customHeight="1" x14ac:dyDescent="0.25">
      <c r="D838" s="102">
        <v>46220</v>
      </c>
    </row>
    <row r="839" spans="1:13" ht="27.75" customHeight="1" x14ac:dyDescent="0.25">
      <c r="D839" s="105">
        <v>46241</v>
      </c>
    </row>
    <row r="840" spans="1:13" ht="27.75" customHeight="1" x14ac:dyDescent="0.25">
      <c r="D840" s="102">
        <v>43707</v>
      </c>
    </row>
    <row r="841" spans="1:13" ht="27.75" customHeight="1" x14ac:dyDescent="0.25">
      <c r="D841" s="105">
        <v>43712</v>
      </c>
    </row>
    <row r="842" spans="1:13" ht="27.75" customHeight="1" x14ac:dyDescent="0.25">
      <c r="D842" s="102">
        <v>43726</v>
      </c>
    </row>
    <row r="843" spans="1:13" ht="27.75" customHeight="1" x14ac:dyDescent="0.25">
      <c r="D843" s="105">
        <v>43740</v>
      </c>
    </row>
    <row r="844" spans="1:13" ht="27.75" customHeight="1" x14ac:dyDescent="0.25">
      <c r="D844" s="102">
        <v>43759</v>
      </c>
    </row>
    <row r="845" spans="1:13" ht="27.75" customHeight="1" x14ac:dyDescent="0.25">
      <c r="D845" s="105">
        <v>43839</v>
      </c>
    </row>
    <row r="846" spans="1:13" ht="27.75" customHeight="1" x14ac:dyDescent="0.25">
      <c r="D846" s="102">
        <v>43854</v>
      </c>
    </row>
    <row r="847" spans="1:13" ht="27.75" customHeight="1" x14ac:dyDescent="0.25">
      <c r="D847" s="105">
        <v>44014</v>
      </c>
    </row>
    <row r="848" spans="1:13" ht="27.75" customHeight="1" x14ac:dyDescent="0.25">
      <c r="D848" s="102">
        <v>44061</v>
      </c>
    </row>
    <row r="849" spans="1:13" ht="27.75" customHeight="1" x14ac:dyDescent="0.25">
      <c r="D849" s="105">
        <v>44070</v>
      </c>
    </row>
    <row r="850" spans="1:13" ht="27.75" customHeight="1" x14ac:dyDescent="0.25">
      <c r="D850" s="102">
        <v>44210</v>
      </c>
    </row>
    <row r="851" spans="1:13" ht="27.75" customHeight="1" x14ac:dyDescent="0.25">
      <c r="D851" s="105">
        <v>44210</v>
      </c>
    </row>
    <row r="852" spans="1:13" ht="27.75" customHeight="1" x14ac:dyDescent="0.25">
      <c r="D852" s="102">
        <v>44211</v>
      </c>
    </row>
    <row r="853" spans="1:13" ht="27.75" customHeight="1" x14ac:dyDescent="0.25">
      <c r="D853" s="105">
        <v>44216</v>
      </c>
    </row>
    <row r="854" spans="1:13" ht="27.75" customHeight="1" x14ac:dyDescent="0.25">
      <c r="D854" s="102">
        <v>44238</v>
      </c>
    </row>
    <row r="855" spans="1:13" ht="27.75" customHeight="1" x14ac:dyDescent="0.25">
      <c r="D855" s="105">
        <v>44274</v>
      </c>
    </row>
    <row r="856" spans="1:13" ht="27.75" customHeight="1" x14ac:dyDescent="0.25">
      <c r="D856" s="102">
        <v>44281</v>
      </c>
    </row>
    <row r="857" spans="1:13" ht="27.75" customHeight="1" x14ac:dyDescent="0.25">
      <c r="D857" s="105">
        <v>44469</v>
      </c>
    </row>
    <row r="858" spans="1:13" ht="27.75" customHeight="1" x14ac:dyDescent="0.25">
      <c r="D858" s="102">
        <v>44601</v>
      </c>
    </row>
    <row r="859" spans="1:13" ht="27.75" customHeight="1" x14ac:dyDescent="0.25">
      <c r="D859" s="105">
        <v>44613</v>
      </c>
    </row>
    <row r="860" spans="1:13" ht="27.75" customHeight="1" x14ac:dyDescent="0.25">
      <c r="D860" s="102">
        <v>44620</v>
      </c>
    </row>
    <row r="861" spans="1:13" ht="27.75" customHeight="1" x14ac:dyDescent="0.25">
      <c r="D861" s="105">
        <v>44638</v>
      </c>
    </row>
    <row r="862" spans="1:13" ht="27.75" customHeight="1" x14ac:dyDescent="0.25">
      <c r="D862" s="102">
        <v>44684</v>
      </c>
    </row>
    <row r="863" spans="1:13" ht="27.75" customHeight="1" x14ac:dyDescent="0.25">
      <c r="D863" s="105">
        <v>44725</v>
      </c>
    </row>
    <row r="864" spans="1:13" ht="27.75" customHeight="1" x14ac:dyDescent="0.25">
      <c r="D864" s="102">
        <v>44753</v>
      </c>
    </row>
    <row r="865" spans="1:13" ht="27.75" customHeight="1" x14ac:dyDescent="0.25">
      <c r="D865" s="105">
        <v>44872</v>
      </c>
    </row>
    <row r="866" spans="1:13" ht="27.75" customHeight="1" x14ac:dyDescent="0.25">
      <c r="D866" s="102">
        <v>44873</v>
      </c>
    </row>
    <row r="867" spans="1:13" ht="27.75" customHeight="1" x14ac:dyDescent="0.25">
      <c r="D867" s="105">
        <v>44985</v>
      </c>
    </row>
    <row r="868" spans="1:13" ht="27.75" customHeight="1" x14ac:dyDescent="0.25">
      <c r="D868" s="102">
        <v>44992</v>
      </c>
    </row>
    <row r="869" spans="1:13" ht="27.75" customHeight="1" x14ac:dyDescent="0.25">
      <c r="D869" s="105">
        <v>45013</v>
      </c>
    </row>
    <row r="870" spans="1:13" ht="27.75" customHeight="1" x14ac:dyDescent="0.25">
      <c r="D870" s="102">
        <v>45022</v>
      </c>
    </row>
    <row r="871" spans="1:13" ht="27.75" customHeight="1" x14ac:dyDescent="0.25">
      <c r="D871" s="105">
        <v>45027</v>
      </c>
    </row>
    <row r="872" spans="1:13" ht="27.75" customHeight="1" x14ac:dyDescent="0.25">
      <c r="D872" s="102">
        <v>45027</v>
      </c>
    </row>
    <row r="873" spans="1:13" ht="27.75" customHeight="1" x14ac:dyDescent="0.25">
      <c r="D873" s="105">
        <v>45086</v>
      </c>
    </row>
    <row r="874" spans="1:13" ht="27.75" customHeight="1" x14ac:dyDescent="0.25">
      <c r="D874" s="102">
        <v>45092</v>
      </c>
    </row>
    <row r="875" spans="1:13" ht="27.75" customHeight="1" x14ac:dyDescent="0.25">
      <c r="D875" s="105">
        <v>45131</v>
      </c>
    </row>
    <row r="876" spans="1:13" ht="27.75" customHeight="1" x14ac:dyDescent="0.25">
      <c r="D876" s="102">
        <v>45168</v>
      </c>
    </row>
    <row r="877" spans="1:13" ht="27.75" customHeight="1" x14ac:dyDescent="0.25">
      <c r="D877" s="105">
        <v>45184</v>
      </c>
    </row>
    <row r="878" spans="1:13" ht="27.75" customHeight="1" x14ac:dyDescent="0.25">
      <c r="D878" s="102">
        <v>45191</v>
      </c>
    </row>
    <row r="879" spans="1:13" ht="27.75" customHeight="1" x14ac:dyDescent="0.25">
      <c r="D879" s="105">
        <v>45258</v>
      </c>
    </row>
    <row r="880" spans="1:13" ht="27.75" customHeight="1" x14ac:dyDescent="0.25">
      <c r="D880" s="102">
        <v>45349</v>
      </c>
    </row>
    <row r="881" spans="1:13" ht="27.75" customHeight="1" x14ac:dyDescent="0.25">
      <c r="D881" s="105">
        <v>45387</v>
      </c>
    </row>
    <row r="882" spans="1:13" ht="27.75" customHeight="1" x14ac:dyDescent="0.25">
      <c r="D882" s="102">
        <v>43966</v>
      </c>
    </row>
    <row r="883" spans="1:13" ht="27.75" customHeight="1" x14ac:dyDescent="0.25">
      <c r="D883" s="105">
        <v>43984</v>
      </c>
    </row>
    <row r="884" spans="1:13" ht="27.75" customHeight="1" x14ac:dyDescent="0.25">
      <c r="D884" s="102">
        <v>44119</v>
      </c>
    </row>
    <row r="885" spans="1:13" ht="27.75" customHeight="1" x14ac:dyDescent="0.25">
      <c r="D885" s="105">
        <v>44195</v>
      </c>
    </row>
    <row r="886" spans="1:13" ht="27.75" customHeight="1" x14ac:dyDescent="0.25">
      <c r="D886" s="102">
        <v>44294</v>
      </c>
    </row>
    <row r="887" spans="1:13" ht="27.75" customHeight="1" x14ac:dyDescent="0.25">
      <c r="D887" s="105">
        <v>44371</v>
      </c>
    </row>
    <row r="888" spans="1:13" ht="27.75" customHeight="1" x14ac:dyDescent="0.25">
      <c r="D888" s="102">
        <v>44427</v>
      </c>
    </row>
    <row r="889" spans="1:13" ht="27.75" customHeight="1" x14ac:dyDescent="0.25">
      <c r="D889" s="105">
        <v>44631</v>
      </c>
    </row>
    <row r="890" spans="1:13" ht="27.75" customHeight="1" x14ac:dyDescent="0.25">
      <c r="D890" s="102">
        <v>44631</v>
      </c>
    </row>
    <row r="891" spans="1:13" ht="27.75" customHeight="1" x14ac:dyDescent="0.25">
      <c r="D891" s="105">
        <v>44782</v>
      </c>
    </row>
    <row r="892" spans="1:13" ht="27.75" customHeight="1" x14ac:dyDescent="0.25">
      <c r="D892" s="102">
        <v>44830</v>
      </c>
    </row>
    <row r="893" spans="1:13" ht="27.75" customHeight="1" x14ac:dyDescent="0.25">
      <c r="D893" s="105">
        <v>44872</v>
      </c>
    </row>
    <row r="894" spans="1:13" ht="27.75" customHeight="1" x14ac:dyDescent="0.25">
      <c r="D894" s="102">
        <v>44873</v>
      </c>
    </row>
    <row r="895" spans="1:13" ht="27.75" customHeight="1" x14ac:dyDescent="0.25">
      <c r="D895" s="105">
        <v>44875</v>
      </c>
    </row>
    <row r="896" spans="1:13" ht="27.75" customHeight="1" x14ac:dyDescent="0.25">
      <c r="D896" s="102">
        <v>44894</v>
      </c>
    </row>
    <row r="897" spans="1:13" ht="27.75" customHeight="1" x14ac:dyDescent="0.25">
      <c r="D897" s="105">
        <v>44943</v>
      </c>
    </row>
    <row r="898" spans="1:13" ht="27.75" customHeight="1" x14ac:dyDescent="0.25">
      <c r="D898" s="102">
        <v>44972</v>
      </c>
    </row>
    <row r="899" spans="1:13" ht="27.75" customHeight="1" x14ac:dyDescent="0.25">
      <c r="D899" s="105">
        <v>44992</v>
      </c>
    </row>
    <row r="900" spans="1:13" ht="27.75" customHeight="1" x14ac:dyDescent="0.25">
      <c r="D900" s="102">
        <v>44992</v>
      </c>
    </row>
    <row r="901" spans="1:13" ht="27.75" customHeight="1" x14ac:dyDescent="0.25">
      <c r="D901" s="105">
        <v>44992</v>
      </c>
    </row>
    <row r="902" spans="1:13" ht="27.75" customHeight="1" x14ac:dyDescent="0.25">
      <c r="D902" s="102">
        <v>45044</v>
      </c>
    </row>
    <row r="903" spans="1:13" ht="27.75" customHeight="1" x14ac:dyDescent="0.25">
      <c r="D903" s="105">
        <v>45044</v>
      </c>
    </row>
    <row r="904" spans="1:13" ht="27.75" customHeight="1" x14ac:dyDescent="0.25">
      <c r="D904" s="102">
        <v>45086</v>
      </c>
    </row>
    <row r="905" spans="1:13" ht="27.75" customHeight="1" x14ac:dyDescent="0.25">
      <c r="D905" s="105">
        <v>45086</v>
      </c>
    </row>
    <row r="906" spans="1:13" ht="27.75" customHeight="1" x14ac:dyDescent="0.25">
      <c r="D906" s="102">
        <v>45086</v>
      </c>
    </row>
    <row r="907" spans="1:13" ht="27.75" customHeight="1" x14ac:dyDescent="0.25">
      <c r="D907" s="105">
        <v>45106</v>
      </c>
    </row>
    <row r="908" spans="1:13" ht="27.75" customHeight="1" x14ac:dyDescent="0.25">
      <c r="D908" s="102">
        <v>45148</v>
      </c>
    </row>
    <row r="909" spans="1:13" ht="27.75" customHeight="1" x14ac:dyDescent="0.25">
      <c r="D909" s="105">
        <v>45148</v>
      </c>
    </row>
    <row r="910" spans="1:13" ht="27.75" customHeight="1" x14ac:dyDescent="0.25">
      <c r="D910" s="102">
        <v>45148</v>
      </c>
    </row>
    <row r="911" spans="1:13" ht="27.75" customHeight="1" x14ac:dyDescent="0.25">
      <c r="D911" s="105">
        <v>45180</v>
      </c>
    </row>
    <row r="912" spans="1:13" ht="27.75" customHeight="1" x14ac:dyDescent="0.25">
      <c r="D912" s="102">
        <v>45180</v>
      </c>
    </row>
    <row r="913" spans="1:13" ht="27.75" customHeight="1" x14ac:dyDescent="0.25">
      <c r="D913" s="105">
        <v>45204</v>
      </c>
    </row>
    <row r="914" spans="1:13" ht="27.75" customHeight="1" x14ac:dyDescent="0.25">
      <c r="D914" s="102">
        <v>45243</v>
      </c>
    </row>
    <row r="915" spans="1:13" ht="27.75" customHeight="1" x14ac:dyDescent="0.25">
      <c r="D915" s="105">
        <v>45245</v>
      </c>
    </row>
    <row r="916" spans="1:13" ht="27.75" customHeight="1" x14ac:dyDescent="0.25">
      <c r="D916" s="102">
        <v>45251</v>
      </c>
    </row>
    <row r="917" spans="1:13" ht="27.75" customHeight="1" x14ac:dyDescent="0.25">
      <c r="D917" s="105">
        <v>45373</v>
      </c>
    </row>
    <row r="918" spans="1:13" ht="27.75" customHeight="1" x14ac:dyDescent="0.25">
      <c r="D918" s="102">
        <v>45373</v>
      </c>
    </row>
    <row r="919" spans="1:13" ht="27.75" customHeight="1" x14ac:dyDescent="0.25">
      <c r="D919" s="105">
        <v>45373</v>
      </c>
    </row>
    <row r="920" spans="1:13" ht="27.75" customHeight="1" x14ac:dyDescent="0.25">
      <c r="D920" s="102">
        <v>45373</v>
      </c>
    </row>
    <row r="921" spans="1:13" ht="27.75" customHeight="1" x14ac:dyDescent="0.25">
      <c r="D921" s="105">
        <v>45549</v>
      </c>
    </row>
    <row r="922" spans="1:13" ht="27.75" customHeight="1" x14ac:dyDescent="0.25">
      <c r="D922" s="102">
        <v>45549</v>
      </c>
    </row>
    <row r="923" spans="1:13" ht="27.75" customHeight="1" x14ac:dyDescent="0.25">
      <c r="D923" s="105">
        <v>45551</v>
      </c>
    </row>
    <row r="924" spans="1:13" ht="27.75" customHeight="1" x14ac:dyDescent="0.25">
      <c r="D924" s="102">
        <v>45650</v>
      </c>
    </row>
    <row r="925" spans="1:13" ht="27.75" customHeight="1" x14ac:dyDescent="0.25">
      <c r="D925" s="105">
        <v>45733</v>
      </c>
    </row>
    <row r="926" spans="1:13" ht="27.75" customHeight="1" x14ac:dyDescent="0.25">
      <c r="D926" s="102">
        <v>45734</v>
      </c>
    </row>
    <row r="927" spans="1:13" ht="27.75" customHeight="1" x14ac:dyDescent="0.25">
      <c r="D927" s="105">
        <v>45734</v>
      </c>
    </row>
    <row r="928" spans="1:13" ht="27.75" customHeight="1" x14ac:dyDescent="0.25">
      <c r="D928" s="102">
        <v>45734</v>
      </c>
    </row>
    <row r="929" spans="1:13" ht="27.75" customHeight="1" x14ac:dyDescent="0.25">
      <c r="D929" s="105">
        <v>45734</v>
      </c>
    </row>
    <row r="930" spans="1:13" ht="27.75" customHeight="1" x14ac:dyDescent="0.25">
      <c r="D930" s="102">
        <v>45743</v>
      </c>
    </row>
    <row r="931" spans="1:13" ht="27.75" customHeight="1" x14ac:dyDescent="0.25">
      <c r="D931" s="105">
        <v>45866</v>
      </c>
    </row>
    <row r="932" spans="1:13" ht="27.75" customHeight="1" x14ac:dyDescent="0.25">
      <c r="D932" s="102">
        <v>45866</v>
      </c>
    </row>
    <row r="933" spans="1:13" ht="27.75" customHeight="1" x14ac:dyDescent="0.25">
      <c r="D933" s="105">
        <v>45905</v>
      </c>
    </row>
    <row r="934" spans="1:13" ht="27.75" customHeight="1" x14ac:dyDescent="0.25">
      <c r="D934" s="102">
        <v>45905</v>
      </c>
    </row>
    <row r="935" spans="1:13" ht="27.75" customHeight="1" x14ac:dyDescent="0.25">
      <c r="D935" s="105">
        <v>46022</v>
      </c>
    </row>
    <row r="936" spans="1:13" ht="27.75" customHeight="1" x14ac:dyDescent="0.25">
      <c r="D936" s="102">
        <v>46022</v>
      </c>
    </row>
    <row r="937" spans="1:13" ht="27.75" customHeight="1" x14ac:dyDescent="0.25">
      <c r="D937" s="105">
        <v>46031</v>
      </c>
    </row>
    <row r="938" spans="1:13" ht="27.75" customHeight="1" x14ac:dyDescent="0.25">
      <c r="D938" s="102">
        <v>46092</v>
      </c>
    </row>
    <row r="939" spans="1:13" ht="27.75" customHeight="1" x14ac:dyDescent="0.25">
      <c r="D939" s="105">
        <v>46093</v>
      </c>
    </row>
    <row r="940" spans="1:13" ht="27.75" customHeight="1" x14ac:dyDescent="0.25">
      <c r="D940" s="102">
        <v>46093</v>
      </c>
    </row>
    <row r="941" spans="1:13" ht="27.75" customHeight="1" x14ac:dyDescent="0.25">
      <c r="D941" s="105">
        <v>44904</v>
      </c>
    </row>
    <row r="942" spans="1:13" ht="27.75" customHeight="1" x14ac:dyDescent="0.25">
      <c r="D942" s="102">
        <v>44914</v>
      </c>
    </row>
    <row r="943" spans="1:13" ht="27.75" customHeight="1" x14ac:dyDescent="0.25">
      <c r="D943" s="105">
        <v>44904</v>
      </c>
    </row>
    <row r="944" spans="1:13" ht="27.75" customHeight="1" x14ac:dyDescent="0.25">
      <c r="D944" s="102">
        <v>44371</v>
      </c>
    </row>
    <row r="945" spans="1:13" ht="27.75" customHeight="1" x14ac:dyDescent="0.25">
      <c r="D945" s="105">
        <v>44414</v>
      </c>
    </row>
    <row r="946" spans="1:13" ht="27.75" customHeight="1" x14ac:dyDescent="0.25">
      <c r="D946" s="102">
        <v>45386</v>
      </c>
    </row>
    <row r="947" spans="1:13" ht="27.75" customHeight="1" x14ac:dyDescent="0.25">
      <c r="D947" s="105">
        <v>44429</v>
      </c>
    </row>
    <row r="948" spans="1:13" ht="27.75" customHeight="1" x14ac:dyDescent="0.25">
      <c r="D948" s="102">
        <v>44447</v>
      </c>
    </row>
    <row r="949" spans="1:13" ht="27.75" customHeight="1" x14ac:dyDescent="0.25">
      <c r="D949" s="105">
        <v>44908</v>
      </c>
    </row>
    <row r="950" spans="1:13" ht="27.75" customHeight="1" x14ac:dyDescent="0.25">
      <c r="D950" s="102">
        <v>45080</v>
      </c>
    </row>
    <row r="951" spans="1:13" ht="27.75" customHeight="1" x14ac:dyDescent="0.25">
      <c r="D951" s="105">
        <v>45182</v>
      </c>
    </row>
    <row r="952" spans="1:13" ht="27.75" customHeight="1" x14ac:dyDescent="0.25">
      <c r="D952" s="102">
        <v>44134</v>
      </c>
    </row>
    <row r="953" spans="1:13" ht="27.75" customHeight="1" x14ac:dyDescent="0.25">
      <c r="D953" s="105">
        <v>44216</v>
      </c>
    </row>
    <row r="954" spans="1:13" ht="27.75" customHeight="1" x14ac:dyDescent="0.25">
      <c r="D954" s="102">
        <v>44258</v>
      </c>
    </row>
    <row r="955" spans="1:13" ht="27.75" customHeight="1" x14ac:dyDescent="0.25">
      <c r="D955" s="105">
        <v>44418</v>
      </c>
    </row>
    <row r="956" spans="1:13" ht="27.75" customHeight="1" x14ac:dyDescent="0.25">
      <c r="D956" s="102">
        <v>44838</v>
      </c>
    </row>
    <row r="957" spans="1:13" ht="27.75" customHeight="1" x14ac:dyDescent="0.25">
      <c r="D957" s="105">
        <v>45530</v>
      </c>
    </row>
    <row r="958" spans="1:13" ht="27.75" customHeight="1" x14ac:dyDescent="0.25">
      <c r="D958" s="102">
        <v>45779</v>
      </c>
    </row>
    <row r="959" spans="1:13" ht="27.75" customHeight="1" x14ac:dyDescent="0.25">
      <c r="D959" s="105">
        <v>45944</v>
      </c>
    </row>
    <row r="960" spans="1:13" ht="27.75" customHeight="1" x14ac:dyDescent="0.25">
      <c r="D960" s="102">
        <v>45973</v>
      </c>
    </row>
    <row r="961" spans="1:13" ht="27.75" customHeight="1" x14ac:dyDescent="0.25">
      <c r="D961" s="105">
        <v>45999</v>
      </c>
    </row>
    <row r="962" spans="1:13" ht="27.75" customHeight="1" x14ac:dyDescent="0.25">
      <c r="D962" s="102">
        <v>46045</v>
      </c>
    </row>
    <row r="963" spans="1:13" ht="27.75" customHeight="1" x14ac:dyDescent="0.25">
      <c r="D963" s="105">
        <v>46057</v>
      </c>
    </row>
    <row r="964" spans="1:13" ht="27.75" customHeight="1" x14ac:dyDescent="0.25">
      <c r="D964" s="102">
        <v>46059</v>
      </c>
    </row>
    <row r="965" spans="1:13" ht="27.75" customHeight="1" x14ac:dyDescent="0.25">
      <c r="D965" s="105">
        <v>46084</v>
      </c>
    </row>
    <row r="966" spans="1:13" ht="27.75" customHeight="1" x14ac:dyDescent="0.25">
      <c r="D966" s="102">
        <v>46202</v>
      </c>
    </row>
    <row r="967" spans="1:13" ht="27.75" customHeight="1" x14ac:dyDescent="0.25">
      <c r="D967" s="105">
        <v>45604</v>
      </c>
    </row>
    <row r="968" spans="1:13" ht="27.75" customHeight="1" x14ac:dyDescent="0.25">
      <c r="D968" s="102">
        <v>45937</v>
      </c>
    </row>
    <row r="969" spans="1:13" ht="27.75" customHeight="1" x14ac:dyDescent="0.25">
      <c r="D969" s="105">
        <v>45999</v>
      </c>
    </row>
    <row r="970" spans="1:13" ht="27.75" customHeight="1" x14ac:dyDescent="0.25">
      <c r="D970" s="102">
        <v>45707</v>
      </c>
    </row>
    <row r="971" spans="1:13" ht="27.75" customHeight="1" x14ac:dyDescent="0.25">
      <c r="D971" s="105">
        <v>43895</v>
      </c>
    </row>
    <row r="972" spans="1:13" ht="27.75" customHeight="1" x14ac:dyDescent="0.25">
      <c r="D972" s="102">
        <v>44481</v>
      </c>
    </row>
    <row r="973" spans="1:13" ht="27.75" customHeight="1" x14ac:dyDescent="0.25">
      <c r="D973" s="105">
        <v>44482</v>
      </c>
    </row>
    <row r="974" spans="1:13" ht="27.75" customHeight="1" x14ac:dyDescent="0.25">
      <c r="D974" s="102">
        <v>44482</v>
      </c>
    </row>
    <row r="975" spans="1:13" ht="27.75" customHeight="1" x14ac:dyDescent="0.25">
      <c r="D975" s="105">
        <v>44482</v>
      </c>
    </row>
    <row r="976" spans="1:13" ht="27.75" customHeight="1" x14ac:dyDescent="0.25">
      <c r="D976" s="102">
        <v>44489</v>
      </c>
    </row>
    <row r="977" spans="1:13" ht="27.75" customHeight="1" x14ac:dyDescent="0.25">
      <c r="D977" s="105">
        <v>44631</v>
      </c>
    </row>
    <row r="978" spans="1:13" ht="27.75" customHeight="1" x14ac:dyDescent="0.25">
      <c r="D978" s="102">
        <v>44662</v>
      </c>
    </row>
    <row r="979" spans="1:13" ht="27.75" customHeight="1" x14ac:dyDescent="0.25">
      <c r="D979" s="105">
        <v>44691</v>
      </c>
    </row>
    <row r="980" spans="1:13" ht="27.75" customHeight="1" x14ac:dyDescent="0.25">
      <c r="D980" s="102">
        <v>44804</v>
      </c>
    </row>
    <row r="981" spans="1:13" ht="27.75" customHeight="1" x14ac:dyDescent="0.25">
      <c r="D981" s="105">
        <v>44873</v>
      </c>
    </row>
    <row r="982" spans="1:13" ht="27.75" customHeight="1" x14ac:dyDescent="0.25">
      <c r="D982" s="102">
        <v>45068</v>
      </c>
    </row>
    <row r="983" spans="1:13" ht="27.75" customHeight="1" x14ac:dyDescent="0.25">
      <c r="D983" s="105">
        <v>44314</v>
      </c>
    </row>
    <row r="984" spans="1:13" ht="27.75" customHeight="1" x14ac:dyDescent="0.25">
      <c r="D984" s="102">
        <v>44320</v>
      </c>
    </row>
    <row r="985" spans="1:13" ht="27.75" customHeight="1" x14ac:dyDescent="0.25">
      <c r="D985" s="105">
        <v>44671</v>
      </c>
    </row>
    <row r="986" spans="1:13" ht="27.75" customHeight="1" x14ac:dyDescent="0.25">
      <c r="D986" s="102">
        <v>44810</v>
      </c>
    </row>
    <row r="987" spans="1:13" ht="27.75" customHeight="1" x14ac:dyDescent="0.25">
      <c r="D987" s="105">
        <v>45348</v>
      </c>
    </row>
    <row r="988" spans="1:13" ht="27.75" customHeight="1" x14ac:dyDescent="0.25">
      <c r="D988" s="102">
        <v>45348</v>
      </c>
    </row>
    <row r="989" spans="1:13" ht="27.75" customHeight="1" x14ac:dyDescent="0.25">
      <c r="D989" s="105">
        <v>46077</v>
      </c>
    </row>
    <row r="990" spans="1:13" ht="27.75" customHeight="1" x14ac:dyDescent="0.25">
      <c r="D990" s="102">
        <v>46077</v>
      </c>
    </row>
    <row r="991" spans="1:13" ht="27.75" customHeight="1" x14ac:dyDescent="0.25">
      <c r="D991" s="105">
        <v>46042</v>
      </c>
    </row>
    <row r="992" spans="1:13" ht="27.75" customHeight="1" x14ac:dyDescent="0.25">
      <c r="D992" s="102">
        <v>46139</v>
      </c>
    </row>
    <row r="993" spans="1:13" ht="27.75" customHeight="1" x14ac:dyDescent="0.25">
      <c r="D993" s="105">
        <v>45776</v>
      </c>
    </row>
    <row r="994" spans="1:13" ht="27.75" customHeight="1" x14ac:dyDescent="0.25">
      <c r="D994" s="102">
        <v>44680</v>
      </c>
    </row>
    <row r="995" spans="1:13" ht="27.75" customHeight="1" x14ac:dyDescent="0.25">
      <c r="D995" s="105">
        <v>44873</v>
      </c>
    </row>
    <row r="996" spans="1:13" ht="27.75" customHeight="1" x14ac:dyDescent="0.25">
      <c r="D996" s="102">
        <v>44971</v>
      </c>
    </row>
    <row r="997" spans="1:13" ht="27.75" customHeight="1" x14ac:dyDescent="0.25">
      <c r="D997" s="105">
        <v>44971</v>
      </c>
    </row>
    <row r="998" spans="1:13" ht="27.75" customHeight="1" x14ac:dyDescent="0.25">
      <c r="D998" s="102">
        <v>45012</v>
      </c>
    </row>
    <row r="999" spans="1:13" ht="27.75" customHeight="1" x14ac:dyDescent="0.25">
      <c r="D999" s="105">
        <v>45191</v>
      </c>
    </row>
    <row r="1000" spans="1:13" ht="27.75" customHeight="1" x14ac:dyDescent="0.25">
      <c r="D1000" s="102">
        <v>45583</v>
      </c>
    </row>
    <row r="1001" spans="1:13" ht="27.75" customHeight="1" x14ac:dyDescent="0.25">
      <c r="D1001" s="105">
        <v>45930</v>
      </c>
    </row>
    <row r="1002" spans="1:13" ht="27.75" customHeight="1" x14ac:dyDescent="0.25">
      <c r="D1002" s="102">
        <v>45937</v>
      </c>
    </row>
    <row r="1003" spans="1:13" ht="27.75" customHeight="1" x14ac:dyDescent="0.25">
      <c r="D1003" s="105">
        <v>46093</v>
      </c>
    </row>
    <row r="1004" spans="1:13" ht="27.75" customHeight="1" x14ac:dyDescent="0.25">
      <c r="D1004" s="102">
        <v>46083</v>
      </c>
    </row>
    <row r="1005" spans="1:13" ht="27.75" customHeight="1" x14ac:dyDescent="0.25">
      <c r="D1005" s="105">
        <v>44846</v>
      </c>
    </row>
    <row r="1006" spans="1:13" ht="27.75" customHeight="1" x14ac:dyDescent="0.25">
      <c r="D1006" s="102">
        <v>44847</v>
      </c>
    </row>
    <row r="1007" spans="1:13" ht="27.75" customHeight="1" x14ac:dyDescent="0.25">
      <c r="D1007" s="105">
        <v>44036</v>
      </c>
    </row>
    <row r="1008" spans="1:13" ht="27.75" customHeight="1" x14ac:dyDescent="0.25">
      <c r="D1008" s="102">
        <v>44487</v>
      </c>
    </row>
    <row r="1009" spans="1:13" ht="27.75" customHeight="1" x14ac:dyDescent="0.25">
      <c r="D1009" s="105">
        <v>44518</v>
      </c>
    </row>
    <row r="1010" spans="1:13" ht="27.75" customHeight="1" x14ac:dyDescent="0.25">
      <c r="D1010" s="102">
        <v>44592</v>
      </c>
    </row>
    <row r="1011" spans="1:13" ht="27.75" customHeight="1" x14ac:dyDescent="0.25">
      <c r="D1011" s="105">
        <v>44595</v>
      </c>
    </row>
    <row r="1012" spans="1:13" ht="27.75" customHeight="1" x14ac:dyDescent="0.25">
      <c r="D1012" s="102">
        <v>44657</v>
      </c>
    </row>
    <row r="1013" spans="1:13" ht="27.75" customHeight="1" x14ac:dyDescent="0.25">
      <c r="D1013" s="105">
        <v>45184</v>
      </c>
    </row>
    <row r="1014" spans="1:13" ht="27.75" customHeight="1" x14ac:dyDescent="0.25">
      <c r="D1014" s="102">
        <v>46079</v>
      </c>
    </row>
    <row r="1015" spans="1:13" ht="27.75" customHeight="1" x14ac:dyDescent="0.25">
      <c r="D1015" s="105">
        <v>46112</v>
      </c>
    </row>
    <row r="1016" spans="1:13" ht="27.75" customHeight="1" x14ac:dyDescent="0.25">
      <c r="D1016" s="102">
        <v>46129</v>
      </c>
    </row>
    <row r="1017" spans="1:13" ht="27.75" customHeight="1" x14ac:dyDescent="0.25">
      <c r="D1017" s="105">
        <v>46213</v>
      </c>
    </row>
    <row r="1018" spans="1:13" ht="27.75" customHeight="1" x14ac:dyDescent="0.25">
      <c r="D1018" s="102">
        <v>46220</v>
      </c>
    </row>
    <row r="1019" spans="1:13" ht="27.75" customHeight="1" x14ac:dyDescent="0.25">
      <c r="D1019" s="105">
        <v>46220</v>
      </c>
    </row>
    <row r="1020" spans="1:13" ht="27.75" customHeight="1" x14ac:dyDescent="0.25">
      <c r="D1020" s="102">
        <v>46253</v>
      </c>
    </row>
    <row r="1021" spans="1:13" ht="27.75" customHeight="1" x14ac:dyDescent="0.25">
      <c r="D1021" s="105">
        <v>43986</v>
      </c>
    </row>
    <row r="1022" spans="1:13" ht="27.75" customHeight="1" x14ac:dyDescent="0.25">
      <c r="D1022" s="102">
        <v>44011</v>
      </c>
    </row>
    <row r="1023" spans="1:13" ht="27.75" customHeight="1" x14ac:dyDescent="0.25">
      <c r="D1023" s="105">
        <v>44043</v>
      </c>
    </row>
    <row r="1024" spans="1:13" ht="27.75" customHeight="1" x14ac:dyDescent="0.25">
      <c r="D1024" s="102">
        <v>44119</v>
      </c>
    </row>
    <row r="1025" spans="1:13" ht="27.75" customHeight="1" x14ac:dyDescent="0.25">
      <c r="D1025" s="105">
        <v>44301</v>
      </c>
    </row>
    <row r="1026" spans="1:13" ht="27.75" customHeight="1" x14ac:dyDescent="0.25">
      <c r="D1026" s="102">
        <v>44733</v>
      </c>
    </row>
    <row r="1027" spans="1:13" ht="27.75" customHeight="1" x14ac:dyDescent="0.25">
      <c r="D1027" s="105">
        <v>44768</v>
      </c>
    </row>
    <row r="1028" spans="1:13" ht="27.75" customHeight="1" x14ac:dyDescent="0.25">
      <c r="D1028" s="102">
        <v>44860</v>
      </c>
    </row>
    <row r="1029" spans="1:13" ht="27.75" customHeight="1" x14ac:dyDescent="0.25">
      <c r="D1029" s="105">
        <v>44895</v>
      </c>
    </row>
    <row r="1030" spans="1:13" ht="27.75" customHeight="1" x14ac:dyDescent="0.25">
      <c r="D1030" s="102">
        <v>44926</v>
      </c>
    </row>
    <row r="1031" spans="1:13" ht="27.75" customHeight="1" x14ac:dyDescent="0.25">
      <c r="D1031" s="105">
        <v>44952</v>
      </c>
    </row>
    <row r="1032" spans="1:13" ht="27.75" customHeight="1" x14ac:dyDescent="0.25">
      <c r="D1032" s="102">
        <v>44954</v>
      </c>
    </row>
    <row r="1033" spans="1:13" ht="27.75" customHeight="1" x14ac:dyDescent="0.25">
      <c r="D1033" s="105">
        <v>44981</v>
      </c>
    </row>
    <row r="1034" spans="1:13" ht="27.75" customHeight="1" x14ac:dyDescent="0.25">
      <c r="D1034" s="102">
        <v>45000</v>
      </c>
    </row>
    <row r="1035" spans="1:13" ht="27.75" customHeight="1" x14ac:dyDescent="0.25">
      <c r="D1035" s="105">
        <v>45073</v>
      </c>
    </row>
    <row r="1036" spans="1:13" ht="27.75" customHeight="1" x14ac:dyDescent="0.25">
      <c r="D1036" s="102">
        <v>45073</v>
      </c>
    </row>
    <row r="1037" spans="1:13" ht="27.75" customHeight="1" x14ac:dyDescent="0.25">
      <c r="D1037" s="105">
        <v>45073</v>
      </c>
    </row>
    <row r="1038" spans="1:13" ht="27.75" customHeight="1" x14ac:dyDescent="0.25">
      <c r="D1038" s="102">
        <v>45076</v>
      </c>
    </row>
    <row r="1039" spans="1:13" ht="27.75" customHeight="1" x14ac:dyDescent="0.25">
      <c r="D1039" s="105">
        <v>45084</v>
      </c>
    </row>
    <row r="1040" spans="1:13" ht="27.75" customHeight="1" x14ac:dyDescent="0.25">
      <c r="D1040" s="102">
        <v>45203</v>
      </c>
    </row>
    <row r="1041" spans="1:13" ht="27.75" customHeight="1" x14ac:dyDescent="0.25">
      <c r="D1041" s="105">
        <v>45224</v>
      </c>
    </row>
    <row r="1042" spans="1:13" ht="27.75" customHeight="1" x14ac:dyDescent="0.25">
      <c r="D1042" s="102">
        <v>45622</v>
      </c>
    </row>
    <row r="1043" spans="1:13" ht="27.75" customHeight="1" x14ac:dyDescent="0.25">
      <c r="D1043" s="105">
        <v>45628</v>
      </c>
    </row>
    <row r="1044" spans="1:13" ht="27.75" customHeight="1" x14ac:dyDescent="0.25">
      <c r="D1044" s="102">
        <v>45643</v>
      </c>
    </row>
    <row r="1045" spans="1:13" ht="27.75" customHeight="1" x14ac:dyDescent="0.25">
      <c r="D1045" s="105">
        <v>45789</v>
      </c>
    </row>
    <row r="1046" spans="1:13" ht="27.75" customHeight="1" x14ac:dyDescent="0.25">
      <c r="D1046" s="102">
        <v>45839</v>
      </c>
    </row>
    <row r="1047" spans="1:13" ht="27.75" customHeight="1" x14ac:dyDescent="0.25">
      <c r="D1047" s="105">
        <v>45888</v>
      </c>
    </row>
    <row r="1048" spans="1:13" ht="27.75" customHeight="1" x14ac:dyDescent="0.25">
      <c r="D1048" s="102">
        <v>45946</v>
      </c>
    </row>
    <row r="1049" spans="1:13" ht="27.75" customHeight="1" x14ac:dyDescent="0.25">
      <c r="D1049" s="105">
        <v>45953</v>
      </c>
    </row>
    <row r="1050" spans="1:13" ht="27.75" customHeight="1" x14ac:dyDescent="0.25">
      <c r="D1050" s="102">
        <v>46073</v>
      </c>
    </row>
    <row r="1051" spans="1:13" ht="27.75" customHeight="1" x14ac:dyDescent="0.25">
      <c r="D1051" s="105">
        <v>46092</v>
      </c>
    </row>
    <row r="1052" spans="1:13" ht="27.75" customHeight="1" x14ac:dyDescent="0.25">
      <c r="D1052" s="102">
        <v>46170</v>
      </c>
    </row>
    <row r="1053" spans="1:13" ht="27.75" customHeight="1" x14ac:dyDescent="0.25">
      <c r="D1053" s="105">
        <v>46170</v>
      </c>
    </row>
    <row r="1054" spans="1:13" ht="27.75" customHeight="1" x14ac:dyDescent="0.25">
      <c r="D1054" s="102">
        <v>46170</v>
      </c>
    </row>
    <row r="1055" spans="1:13" ht="27.75" customHeight="1" x14ac:dyDescent="0.25">
      <c r="D1055" s="105">
        <v>46174</v>
      </c>
    </row>
    <row r="1056" spans="1:13" ht="27.75" customHeight="1" x14ac:dyDescent="0.25">
      <c r="D1056" s="102">
        <v>46202</v>
      </c>
    </row>
    <row r="1057" spans="1:13" ht="27.75" customHeight="1" x14ac:dyDescent="0.25">
      <c r="D1057" s="105">
        <v>46205</v>
      </c>
    </row>
    <row r="1058" spans="1:13" ht="27.75" customHeight="1" x14ac:dyDescent="0.25">
      <c r="D1058" s="102">
        <v>46220</v>
      </c>
    </row>
    <row r="1059" spans="1:13" ht="27.75" customHeight="1" x14ac:dyDescent="0.25">
      <c r="D1059" s="105">
        <v>44135</v>
      </c>
    </row>
    <row r="1060" spans="1:13" ht="27.75" customHeight="1" x14ac:dyDescent="0.25">
      <c r="D1060" s="102">
        <v>44216</v>
      </c>
    </row>
    <row r="1061" spans="1:13" ht="27.75" customHeight="1" x14ac:dyDescent="0.25">
      <c r="D1061" s="105">
        <v>44218</v>
      </c>
    </row>
    <row r="1062" spans="1:13" ht="27.75" customHeight="1" x14ac:dyDescent="0.25">
      <c r="D1062" s="102">
        <v>44789</v>
      </c>
    </row>
    <row r="1063" spans="1:13" ht="27.75" customHeight="1" x14ac:dyDescent="0.25">
      <c r="D1063" s="105">
        <v>45777</v>
      </c>
    </row>
    <row r="1064" spans="1:13" ht="27.75" customHeight="1" x14ac:dyDescent="0.25">
      <c r="D1064" s="102">
        <v>46175</v>
      </c>
    </row>
    <row r="1065" spans="1:13" ht="27.75" customHeight="1" x14ac:dyDescent="0.25">
      <c r="D1065" s="105">
        <v>45069</v>
      </c>
    </row>
    <row r="1066" spans="1:13" ht="27.75" customHeight="1" x14ac:dyDescent="0.25">
      <c r="D1066" s="102">
        <v>46024</v>
      </c>
    </row>
    <row r="1067" spans="1:13" ht="27.75" customHeight="1" x14ac:dyDescent="0.25">
      <c r="D1067" s="105">
        <v>46206</v>
      </c>
    </row>
    <row r="1068" spans="1:13" ht="27.75" customHeight="1" x14ac:dyDescent="0.25">
      <c r="D1068" s="102">
        <v>46076</v>
      </c>
    </row>
    <row r="1069" spans="1:13" ht="27.75" customHeight="1" x14ac:dyDescent="0.25">
      <c r="D1069" s="105">
        <v>44538</v>
      </c>
    </row>
    <row r="1070" spans="1:13" ht="27.75" customHeight="1" x14ac:dyDescent="0.25">
      <c r="D1070" s="102">
        <v>43739</v>
      </c>
    </row>
    <row r="1071" spans="1:13" ht="27.75" customHeight="1" x14ac:dyDescent="0.25">
      <c r="D1071" s="105">
        <v>43739</v>
      </c>
    </row>
    <row r="1072" spans="1:13" ht="27.75" customHeight="1" x14ac:dyDescent="0.25">
      <c r="D1072" s="102">
        <v>43844</v>
      </c>
    </row>
    <row r="1073" spans="1:13" ht="27.75" customHeight="1" x14ac:dyDescent="0.25">
      <c r="D1073" s="105">
        <v>45125</v>
      </c>
    </row>
    <row r="1074" spans="1:13" ht="27.75" customHeight="1" x14ac:dyDescent="0.25">
      <c r="D1074" s="102">
        <v>44389</v>
      </c>
    </row>
    <row r="1075" spans="1:13" ht="27.75" customHeight="1" x14ac:dyDescent="0.25">
      <c r="D1075" s="105">
        <v>44428</v>
      </c>
    </row>
    <row r="1076" spans="1:13" ht="27.75" customHeight="1" x14ac:dyDescent="0.25">
      <c r="D1076" s="102">
        <v>44783</v>
      </c>
    </row>
    <row r="1077" spans="1:13" ht="27.75" customHeight="1" x14ac:dyDescent="0.25">
      <c r="D1077" s="105">
        <v>44855</v>
      </c>
    </row>
    <row r="1078" spans="1:13" ht="27.75" customHeight="1" x14ac:dyDescent="0.25">
      <c r="D1078" s="102">
        <v>44858</v>
      </c>
    </row>
    <row r="1079" spans="1:13" ht="27.75" customHeight="1" x14ac:dyDescent="0.25">
      <c r="D1079" s="105">
        <v>44858</v>
      </c>
    </row>
    <row r="1080" spans="1:13" ht="27.75" customHeight="1" x14ac:dyDescent="0.25">
      <c r="D1080" s="102">
        <v>44860</v>
      </c>
    </row>
    <row r="1081" spans="1:13" ht="27.75" customHeight="1" x14ac:dyDescent="0.25">
      <c r="D1081" s="105">
        <v>44860</v>
      </c>
    </row>
    <row r="1082" spans="1:13" ht="27.75" customHeight="1" x14ac:dyDescent="0.25">
      <c r="D1082" s="102">
        <v>44872</v>
      </c>
    </row>
    <row r="1083" spans="1:13" ht="27.75" customHeight="1" x14ac:dyDescent="0.25">
      <c r="D1083" s="105">
        <v>44994</v>
      </c>
    </row>
    <row r="1084" spans="1:13" ht="27.75" customHeight="1" x14ac:dyDescent="0.25">
      <c r="D1084" s="102">
        <v>45131</v>
      </c>
    </row>
    <row r="1085" spans="1:13" ht="27.75" customHeight="1" x14ac:dyDescent="0.25">
      <c r="D1085" s="105">
        <v>45237</v>
      </c>
    </row>
    <row r="1086" spans="1:13" ht="27.75" customHeight="1" x14ac:dyDescent="0.25">
      <c r="D1086" s="102">
        <v>45278</v>
      </c>
    </row>
    <row r="1087" spans="1:13" ht="27.75" customHeight="1" x14ac:dyDescent="0.25">
      <c r="D1087" s="105">
        <v>45548</v>
      </c>
    </row>
    <row r="1088" spans="1:13" ht="27.75" customHeight="1" x14ac:dyDescent="0.25">
      <c r="D1088" s="102">
        <v>45548</v>
      </c>
    </row>
    <row r="1089" spans="1:13" ht="27.75" customHeight="1" x14ac:dyDescent="0.25">
      <c r="D1089" s="105">
        <v>45709</v>
      </c>
    </row>
    <row r="1090" spans="1:13" ht="27.75" customHeight="1" x14ac:dyDescent="0.25">
      <c r="D1090" s="102">
        <v>45833</v>
      </c>
    </row>
    <row r="1091" spans="1:13" ht="27.75" customHeight="1" x14ac:dyDescent="0.25">
      <c r="D1091" s="105">
        <v>45996</v>
      </c>
    </row>
    <row r="1092" spans="1:13" ht="27.75" customHeight="1" x14ac:dyDescent="0.25">
      <c r="D1092" s="102">
        <v>45996</v>
      </c>
    </row>
    <row r="1093" spans="1:13" ht="27.75" customHeight="1" x14ac:dyDescent="0.25">
      <c r="D1093" s="105">
        <v>46129</v>
      </c>
    </row>
    <row r="1094" spans="1:13" ht="27.75" customHeight="1" x14ac:dyDescent="0.25">
      <c r="D1094" s="102">
        <v>44813</v>
      </c>
    </row>
    <row r="1095" spans="1:13" ht="27.75" customHeight="1" x14ac:dyDescent="0.25">
      <c r="D1095" s="105">
        <v>44813</v>
      </c>
    </row>
    <row r="1096" spans="1:13" ht="27.75" customHeight="1" x14ac:dyDescent="0.25">
      <c r="D1096" s="102">
        <v>44813</v>
      </c>
    </row>
    <row r="1097" spans="1:13" ht="27.75" customHeight="1" x14ac:dyDescent="0.25">
      <c r="D1097" s="105">
        <v>44826</v>
      </c>
    </row>
    <row r="1098" spans="1:13" ht="27.75" customHeight="1" x14ac:dyDescent="0.25">
      <c r="D1098" s="102">
        <v>44701</v>
      </c>
    </row>
    <row r="1099" spans="1:13" ht="27.75" customHeight="1" x14ac:dyDescent="0.25">
      <c r="D1099" s="105">
        <v>45034</v>
      </c>
    </row>
    <row r="1100" spans="1:13" ht="27.75" customHeight="1" x14ac:dyDescent="0.25">
      <c r="D1100" s="102">
        <v>45086</v>
      </c>
    </row>
    <row r="1101" spans="1:13" ht="27.75" customHeight="1" x14ac:dyDescent="0.25">
      <c r="D1101" s="105">
        <v>45387</v>
      </c>
    </row>
    <row r="1102" spans="1:13" ht="27.75" customHeight="1" x14ac:dyDescent="0.25">
      <c r="D1102" s="102">
        <v>45930</v>
      </c>
    </row>
    <row r="1103" spans="1:13" ht="27.75" customHeight="1" x14ac:dyDescent="0.25">
      <c r="D1103" s="105">
        <v>45981</v>
      </c>
    </row>
    <row r="1104" spans="1:13" ht="27.75" customHeight="1" x14ac:dyDescent="0.25">
      <c r="D1104" s="102">
        <v>45073</v>
      </c>
    </row>
    <row r="1105" spans="1:13" ht="27.75" customHeight="1" x14ac:dyDescent="0.25">
      <c r="D1105" s="105">
        <v>44363</v>
      </c>
    </row>
    <row r="1106" spans="1:13" ht="27.75" customHeight="1" x14ac:dyDescent="0.25">
      <c r="D1106" s="102">
        <v>44613</v>
      </c>
    </row>
    <row r="1107" spans="1:13" ht="27.75" customHeight="1" x14ac:dyDescent="0.25">
      <c r="D1107" s="105">
        <v>44624</v>
      </c>
    </row>
    <row r="1108" spans="1:13" ht="27.75" customHeight="1" x14ac:dyDescent="0.25">
      <c r="D1108" s="102">
        <v>44694</v>
      </c>
    </row>
    <row r="1109" spans="1:13" ht="27.75" customHeight="1" x14ac:dyDescent="0.25">
      <c r="D1109" s="105">
        <v>44768</v>
      </c>
    </row>
    <row r="1110" spans="1:13" ht="27.75" customHeight="1" x14ac:dyDescent="0.25">
      <c r="D1110" s="102">
        <v>44809</v>
      </c>
    </row>
    <row r="1111" spans="1:13" ht="27.75" customHeight="1" x14ac:dyDescent="0.25">
      <c r="D1111" s="105">
        <v>44813</v>
      </c>
    </row>
    <row r="1112" spans="1:13" ht="27.75" customHeight="1" x14ac:dyDescent="0.25">
      <c r="D1112" s="102">
        <v>44838</v>
      </c>
    </row>
    <row r="1113" spans="1:13" ht="27.75" customHeight="1" x14ac:dyDescent="0.25">
      <c r="D1113" s="105">
        <v>44855</v>
      </c>
    </row>
    <row r="1114" spans="1:13" ht="27.75" customHeight="1" x14ac:dyDescent="0.25">
      <c r="D1114" s="102">
        <v>44858</v>
      </c>
    </row>
    <row r="1115" spans="1:13" ht="27.75" customHeight="1" x14ac:dyDescent="0.25">
      <c r="D1115" s="105">
        <v>44972</v>
      </c>
    </row>
    <row r="1116" spans="1:13" ht="27.75" customHeight="1" x14ac:dyDescent="0.25">
      <c r="D1116" s="102">
        <v>45012</v>
      </c>
    </row>
    <row r="1117" spans="1:13" ht="27.75" customHeight="1" x14ac:dyDescent="0.25">
      <c r="D1117" s="105">
        <v>45012</v>
      </c>
    </row>
    <row r="1118" spans="1:13" ht="27.75" customHeight="1" x14ac:dyDescent="0.25">
      <c r="D1118" s="102">
        <v>45037</v>
      </c>
    </row>
    <row r="1119" spans="1:13" ht="27.75" customHeight="1" x14ac:dyDescent="0.25">
      <c r="D1119" s="105">
        <v>45057</v>
      </c>
    </row>
    <row r="1120" spans="1:13" ht="27.75" customHeight="1" x14ac:dyDescent="0.25">
      <c r="D1120" s="102">
        <v>45071</v>
      </c>
    </row>
    <row r="1121" spans="1:13" ht="27.75" customHeight="1" x14ac:dyDescent="0.25">
      <c r="D1121" s="105">
        <v>45222</v>
      </c>
    </row>
    <row r="1122" spans="1:13" ht="27.75" customHeight="1" x14ac:dyDescent="0.25">
      <c r="D1122" s="102">
        <v>45688</v>
      </c>
    </row>
    <row r="1123" spans="1:13" ht="27.75" customHeight="1" x14ac:dyDescent="0.25">
      <c r="D1123" s="105">
        <v>45698</v>
      </c>
    </row>
    <row r="1124" spans="1:13" ht="27.75" customHeight="1" x14ac:dyDescent="0.25">
      <c r="D1124" s="102">
        <v>45702</v>
      </c>
    </row>
    <row r="1125" spans="1:13" ht="27.75" customHeight="1" x14ac:dyDescent="0.25">
      <c r="D1125" s="105">
        <v>45875</v>
      </c>
    </row>
    <row r="1126" spans="1:13" ht="27.75" customHeight="1" x14ac:dyDescent="0.25">
      <c r="D1126" s="102">
        <v>46084</v>
      </c>
    </row>
    <row r="1127" spans="1:13" ht="27.75" customHeight="1" x14ac:dyDescent="0.25">
      <c r="D1127" s="105">
        <v>46084</v>
      </c>
    </row>
    <row r="1128" spans="1:13" ht="27.75" customHeight="1" x14ac:dyDescent="0.25">
      <c r="D1128" s="102">
        <v>46157</v>
      </c>
    </row>
    <row r="1129" spans="1:13" ht="27.75" customHeight="1" x14ac:dyDescent="0.25">
      <c r="D1129" s="105">
        <v>46253</v>
      </c>
    </row>
    <row r="1130" spans="1:13" ht="27.75" customHeight="1" x14ac:dyDescent="0.25">
      <c r="D1130" s="102">
        <v>44872</v>
      </c>
    </row>
    <row r="1131" spans="1:13" ht="27.75" customHeight="1" x14ac:dyDescent="0.25">
      <c r="D1131" s="105">
        <v>44914</v>
      </c>
    </row>
    <row r="1132" spans="1:13" ht="27.75" customHeight="1" x14ac:dyDescent="0.25">
      <c r="D1132" s="102">
        <v>45229</v>
      </c>
    </row>
    <row r="1133" spans="1:13" ht="27.75" customHeight="1" x14ac:dyDescent="0.25">
      <c r="D1133" s="105">
        <v>45936</v>
      </c>
    </row>
    <row r="1134" spans="1:13" ht="27.75" customHeight="1" x14ac:dyDescent="0.25">
      <c r="D1134" s="102">
        <v>44124</v>
      </c>
    </row>
    <row r="1135" spans="1:13" ht="27.75" customHeight="1" x14ac:dyDescent="0.25">
      <c r="D1135" s="105">
        <v>46007</v>
      </c>
    </row>
    <row r="1136" spans="1:13" ht="27.75" customHeight="1" x14ac:dyDescent="0.25">
      <c r="D1136" s="102">
        <v>44147</v>
      </c>
    </row>
    <row r="1137" spans="1:13" ht="27.75" customHeight="1" x14ac:dyDescent="0.25">
      <c r="D1137" s="105">
        <v>44389</v>
      </c>
    </row>
    <row r="1138" spans="1:13" ht="27.75" customHeight="1" x14ac:dyDescent="0.25">
      <c r="D1138" s="102">
        <v>44438</v>
      </c>
    </row>
    <row r="1139" spans="1:13" ht="27.75" customHeight="1" x14ac:dyDescent="0.25">
      <c r="D1139" s="105">
        <v>44826</v>
      </c>
    </row>
    <row r="1140" spans="1:13" ht="27.75" customHeight="1" x14ac:dyDescent="0.25">
      <c r="D1140" s="102">
        <v>44216</v>
      </c>
    </row>
    <row r="1141" spans="1:13" ht="27.75" customHeight="1" x14ac:dyDescent="0.25">
      <c r="D1141" s="105">
        <v>44216</v>
      </c>
    </row>
    <row r="1142" spans="1:13" ht="27.75" customHeight="1" x14ac:dyDescent="0.25">
      <c r="D1142" s="102">
        <v>44216</v>
      </c>
    </row>
    <row r="1143" spans="1:13" ht="27.75" customHeight="1" x14ac:dyDescent="0.25">
      <c r="D1143" s="105">
        <v>44267</v>
      </c>
    </row>
    <row r="1144" spans="1:13" ht="27.75" customHeight="1" x14ac:dyDescent="0.25">
      <c r="D1144" s="102">
        <v>44281</v>
      </c>
    </row>
    <row r="1145" spans="1:13" ht="27.75" customHeight="1" x14ac:dyDescent="0.25">
      <c r="D1145" s="105">
        <v>44315</v>
      </c>
    </row>
    <row r="1146" spans="1:13" ht="27.75" customHeight="1" x14ac:dyDescent="0.25">
      <c r="D1146" s="102">
        <v>44328</v>
      </c>
    </row>
    <row r="1147" spans="1:13" ht="27.75" customHeight="1" x14ac:dyDescent="0.25">
      <c r="D1147" s="105">
        <v>44335</v>
      </c>
    </row>
    <row r="1148" spans="1:13" ht="27.75" customHeight="1" x14ac:dyDescent="0.25">
      <c r="D1148" s="102">
        <v>44355</v>
      </c>
    </row>
    <row r="1149" spans="1:13" ht="27.75" customHeight="1" x14ac:dyDescent="0.25">
      <c r="D1149" s="105">
        <v>44739</v>
      </c>
    </row>
    <row r="1150" spans="1:13" ht="27.75" customHeight="1" x14ac:dyDescent="0.25">
      <c r="D1150" s="102">
        <v>44739</v>
      </c>
    </row>
    <row r="1151" spans="1:13" ht="27.75" customHeight="1" x14ac:dyDescent="0.25">
      <c r="D1151" s="105">
        <v>44762</v>
      </c>
    </row>
    <row r="1152" spans="1:13" ht="27.75" customHeight="1" x14ac:dyDescent="0.25">
      <c r="D1152" s="102">
        <v>44762</v>
      </c>
    </row>
    <row r="1153" spans="1:13" ht="27.75" customHeight="1" x14ac:dyDescent="0.25">
      <c r="D1153" s="105">
        <v>44768</v>
      </c>
    </row>
    <row r="1154" spans="1:13" ht="27.75" customHeight="1" x14ac:dyDescent="0.25">
      <c r="D1154" s="102">
        <v>44768</v>
      </c>
    </row>
    <row r="1155" spans="1:13" ht="27.75" customHeight="1" x14ac:dyDescent="0.25">
      <c r="D1155" s="105">
        <v>44795</v>
      </c>
    </row>
    <row r="1156" spans="1:13" ht="27.75" customHeight="1" x14ac:dyDescent="0.25">
      <c r="D1156" s="102">
        <v>44895</v>
      </c>
    </row>
    <row r="1157" spans="1:13" ht="27.75" customHeight="1" x14ac:dyDescent="0.25">
      <c r="D1157" s="105">
        <v>44895</v>
      </c>
    </row>
    <row r="1158" spans="1:13" ht="27.75" customHeight="1" x14ac:dyDescent="0.25">
      <c r="D1158" s="102">
        <v>44895</v>
      </c>
    </row>
    <row r="1159" spans="1:13" ht="27.75" customHeight="1" x14ac:dyDescent="0.25">
      <c r="D1159" s="105">
        <v>44895</v>
      </c>
    </row>
    <row r="1160" spans="1:13" ht="27.75" customHeight="1" x14ac:dyDescent="0.25">
      <c r="D1160" s="102">
        <v>45638</v>
      </c>
    </row>
    <row r="1161" spans="1:13" ht="27.75" customHeight="1" x14ac:dyDescent="0.25">
      <c r="D1161" s="105">
        <v>45750</v>
      </c>
    </row>
    <row r="1162" spans="1:13" ht="27.75" customHeight="1" x14ac:dyDescent="0.25">
      <c r="D1162" s="102">
        <v>45869</v>
      </c>
    </row>
    <row r="1163" spans="1:13" ht="27.75" customHeight="1" x14ac:dyDescent="0.25">
      <c r="D1163" s="105">
        <v>43620</v>
      </c>
    </row>
    <row r="1164" spans="1:13" ht="27.75" customHeight="1" x14ac:dyDescent="0.25">
      <c r="D1164" s="102">
        <v>43641</v>
      </c>
    </row>
    <row r="1165" spans="1:13" ht="27.75" customHeight="1" x14ac:dyDescent="0.25">
      <c r="D1165" s="105">
        <v>43726</v>
      </c>
    </row>
    <row r="1166" spans="1:13" ht="27.75" customHeight="1" x14ac:dyDescent="0.25">
      <c r="D1166" s="102">
        <v>43745</v>
      </c>
    </row>
    <row r="1167" spans="1:13" ht="27.75" customHeight="1" x14ac:dyDescent="0.25">
      <c r="D1167" s="105">
        <v>43847</v>
      </c>
    </row>
    <row r="1168" spans="1:13" ht="27.75" customHeight="1" x14ac:dyDescent="0.25">
      <c r="D1168" s="102">
        <v>43895</v>
      </c>
    </row>
    <row r="1169" spans="1:13" ht="27.75" customHeight="1" x14ac:dyDescent="0.25">
      <c r="D1169" s="105">
        <v>44014</v>
      </c>
    </row>
    <row r="1170" spans="1:13" ht="27.75" customHeight="1" x14ac:dyDescent="0.25">
      <c r="D1170" s="102">
        <v>44033</v>
      </c>
    </row>
    <row r="1171" spans="1:13" ht="27.75" customHeight="1" x14ac:dyDescent="0.25">
      <c r="D1171" s="105">
        <v>44036</v>
      </c>
    </row>
    <row r="1172" spans="1:13" ht="27.75" customHeight="1" x14ac:dyDescent="0.25">
      <c r="D1172" s="102">
        <v>44081</v>
      </c>
    </row>
    <row r="1173" spans="1:13" ht="27.75" customHeight="1" x14ac:dyDescent="0.25">
      <c r="D1173" s="105">
        <v>44099</v>
      </c>
    </row>
    <row r="1174" spans="1:13" ht="27.75" customHeight="1" x14ac:dyDescent="0.25">
      <c r="D1174" s="102">
        <v>44196</v>
      </c>
    </row>
    <row r="1175" spans="1:13" ht="27.75" customHeight="1" x14ac:dyDescent="0.25">
      <c r="D1175" s="105">
        <v>44196</v>
      </c>
    </row>
    <row r="1176" spans="1:13" ht="27.75" customHeight="1" x14ac:dyDescent="0.25">
      <c r="D1176" s="102">
        <v>44216</v>
      </c>
    </row>
    <row r="1177" spans="1:13" ht="27.75" customHeight="1" x14ac:dyDescent="0.25">
      <c r="D1177" s="105">
        <v>44295</v>
      </c>
    </row>
    <row r="1178" spans="1:13" ht="27.75" customHeight="1" x14ac:dyDescent="0.25">
      <c r="D1178" s="102">
        <v>44308</v>
      </c>
    </row>
    <row r="1179" spans="1:13" ht="27.75" customHeight="1" x14ac:dyDescent="0.25">
      <c r="D1179" s="105">
        <v>44418</v>
      </c>
    </row>
    <row r="1180" spans="1:13" ht="27.75" customHeight="1" x14ac:dyDescent="0.25">
      <c r="D1180" s="102">
        <v>44622</v>
      </c>
    </row>
    <row r="1181" spans="1:13" ht="27.75" customHeight="1" x14ac:dyDescent="0.25">
      <c r="D1181" s="105">
        <v>44644</v>
      </c>
    </row>
    <row r="1182" spans="1:13" ht="27.75" customHeight="1" x14ac:dyDescent="0.25">
      <c r="D1182" s="102">
        <v>44768</v>
      </c>
    </row>
    <row r="1183" spans="1:13" ht="27.75" customHeight="1" x14ac:dyDescent="0.25">
      <c r="D1183" s="105">
        <v>44771</v>
      </c>
    </row>
    <row r="1184" spans="1:13" ht="27.75" customHeight="1" x14ac:dyDescent="0.25">
      <c r="D1184" s="102">
        <v>44771</v>
      </c>
    </row>
    <row r="1185" spans="1:13" ht="27.75" customHeight="1" x14ac:dyDescent="0.25">
      <c r="D1185" s="105">
        <v>44771</v>
      </c>
    </row>
    <row r="1186" spans="1:13" ht="27.75" customHeight="1" x14ac:dyDescent="0.25">
      <c r="D1186" s="102">
        <v>44802</v>
      </c>
    </row>
    <row r="1187" spans="1:13" ht="27.75" customHeight="1" x14ac:dyDescent="0.25">
      <c r="D1187" s="105">
        <v>44802</v>
      </c>
    </row>
    <row r="1188" spans="1:13" ht="27.75" customHeight="1" x14ac:dyDescent="0.25">
      <c r="D1188" s="102">
        <v>44803</v>
      </c>
    </row>
    <row r="1189" spans="1:13" ht="27.75" customHeight="1" x14ac:dyDescent="0.25">
      <c r="D1189" s="105">
        <v>44826</v>
      </c>
    </row>
    <row r="1190" spans="1:13" ht="27.75" customHeight="1" x14ac:dyDescent="0.25">
      <c r="D1190" s="102">
        <v>44860</v>
      </c>
    </row>
    <row r="1191" spans="1:13" ht="27.75" customHeight="1" x14ac:dyDescent="0.25">
      <c r="D1191" s="105">
        <v>44869</v>
      </c>
    </row>
    <row r="1192" spans="1:13" ht="27.75" customHeight="1" x14ac:dyDescent="0.25">
      <c r="D1192" s="102">
        <v>44873</v>
      </c>
    </row>
    <row r="1193" spans="1:13" ht="27.75" customHeight="1" x14ac:dyDescent="0.25">
      <c r="D1193" s="105">
        <v>44873</v>
      </c>
    </row>
    <row r="1194" spans="1:13" ht="27.75" customHeight="1" x14ac:dyDescent="0.25">
      <c r="D1194" s="102">
        <v>44895</v>
      </c>
    </row>
    <row r="1195" spans="1:13" ht="27.75" customHeight="1" x14ac:dyDescent="0.25">
      <c r="D1195" s="105">
        <v>44895</v>
      </c>
    </row>
    <row r="1196" spans="1:13" ht="27.75" customHeight="1" x14ac:dyDescent="0.25">
      <c r="D1196" s="102">
        <v>44950</v>
      </c>
    </row>
    <row r="1197" spans="1:13" ht="27.75" customHeight="1" x14ac:dyDescent="0.25">
      <c r="D1197" s="105">
        <v>44950</v>
      </c>
    </row>
    <row r="1198" spans="1:13" ht="27.75" customHeight="1" x14ac:dyDescent="0.25">
      <c r="D1198" s="102">
        <v>45013</v>
      </c>
    </row>
    <row r="1199" spans="1:13" ht="27.75" customHeight="1" x14ac:dyDescent="0.25">
      <c r="D1199" s="105">
        <v>45013</v>
      </c>
    </row>
    <row r="1200" spans="1:13" ht="27.75" customHeight="1" x14ac:dyDescent="0.25">
      <c r="D1200" s="102">
        <v>45027</v>
      </c>
    </row>
    <row r="1201" spans="1:13" ht="27.75" customHeight="1" x14ac:dyDescent="0.25">
      <c r="D1201" s="105">
        <v>45037</v>
      </c>
    </row>
    <row r="1202" spans="1:13" ht="27.75" customHeight="1" x14ac:dyDescent="0.25">
      <c r="D1202" s="102">
        <v>45073</v>
      </c>
    </row>
    <row r="1203" spans="1:13" ht="27.75" customHeight="1" x14ac:dyDescent="0.25">
      <c r="D1203" s="105">
        <v>45077</v>
      </c>
    </row>
    <row r="1204" spans="1:13" ht="27.75" customHeight="1" x14ac:dyDescent="0.25">
      <c r="D1204" s="102">
        <v>45107</v>
      </c>
    </row>
    <row r="1205" spans="1:13" ht="27.75" customHeight="1" x14ac:dyDescent="0.25">
      <c r="D1205" s="105">
        <v>45107</v>
      </c>
    </row>
    <row r="1206" spans="1:13" ht="27.75" customHeight="1" x14ac:dyDescent="0.25">
      <c r="D1206" s="102">
        <v>45107</v>
      </c>
    </row>
    <row r="1207" spans="1:13" ht="27.75" customHeight="1" x14ac:dyDescent="0.25">
      <c r="D1207" s="105">
        <v>45113</v>
      </c>
    </row>
    <row r="1208" spans="1:13" ht="27.75" customHeight="1" x14ac:dyDescent="0.25">
      <c r="D1208" s="102">
        <v>45113</v>
      </c>
    </row>
    <row r="1209" spans="1:13" ht="27.75" customHeight="1" x14ac:dyDescent="0.25">
      <c r="D1209" s="105">
        <v>45131</v>
      </c>
    </row>
    <row r="1210" spans="1:13" ht="27.75" customHeight="1" x14ac:dyDescent="0.25">
      <c r="D1210" s="102">
        <v>45131</v>
      </c>
    </row>
    <row r="1211" spans="1:13" ht="27.75" customHeight="1" x14ac:dyDescent="0.25">
      <c r="D1211" s="105">
        <v>45180</v>
      </c>
    </row>
    <row r="1212" spans="1:13" ht="27.75" customHeight="1" x14ac:dyDescent="0.25">
      <c r="D1212" s="102">
        <v>45196</v>
      </c>
    </row>
    <row r="1213" spans="1:13" ht="27.75" customHeight="1" x14ac:dyDescent="0.25">
      <c r="D1213" s="105">
        <v>45245</v>
      </c>
    </row>
    <row r="1214" spans="1:13" ht="27.75" customHeight="1" x14ac:dyDescent="0.25">
      <c r="D1214" s="102">
        <v>45267</v>
      </c>
    </row>
    <row r="1215" spans="1:13" ht="27.75" customHeight="1" x14ac:dyDescent="0.25">
      <c r="D1215" s="105">
        <v>45344</v>
      </c>
    </row>
    <row r="1216" spans="1:13" ht="27.75" customHeight="1" x14ac:dyDescent="0.25">
      <c r="D1216" s="102">
        <v>45387</v>
      </c>
    </row>
    <row r="1217" spans="1:13" ht="27.75" customHeight="1" x14ac:dyDescent="0.25">
      <c r="D1217" s="105">
        <v>45387</v>
      </c>
    </row>
    <row r="1218" spans="1:13" ht="27.75" customHeight="1" x14ac:dyDescent="0.25">
      <c r="D1218" s="102">
        <v>45467</v>
      </c>
    </row>
    <row r="1219" spans="1:13" ht="27.75" customHeight="1" x14ac:dyDescent="0.25">
      <c r="D1219" s="105">
        <v>45484</v>
      </c>
    </row>
    <row r="1220" spans="1:13" ht="27.75" customHeight="1" x14ac:dyDescent="0.25">
      <c r="D1220" s="102">
        <v>45492</v>
      </c>
    </row>
    <row r="1221" spans="1:13" ht="27.75" customHeight="1" x14ac:dyDescent="0.25">
      <c r="D1221" s="105">
        <v>45509</v>
      </c>
    </row>
    <row r="1222" spans="1:13" ht="27.75" customHeight="1" x14ac:dyDescent="0.25">
      <c r="D1222" s="102">
        <v>45560</v>
      </c>
    </row>
    <row r="1223" spans="1:13" ht="27.75" customHeight="1" x14ac:dyDescent="0.25">
      <c r="D1223" s="105">
        <v>45646</v>
      </c>
    </row>
    <row r="1224" spans="1:13" ht="27.75" customHeight="1" x14ac:dyDescent="0.25">
      <c r="D1224" s="102">
        <v>45646</v>
      </c>
    </row>
    <row r="1225" spans="1:13" ht="27.75" customHeight="1" x14ac:dyDescent="0.25">
      <c r="D1225" s="105">
        <v>45693</v>
      </c>
    </row>
    <row r="1226" spans="1:13" ht="27.75" customHeight="1" x14ac:dyDescent="0.25">
      <c r="D1226" s="102">
        <v>45693</v>
      </c>
    </row>
    <row r="1227" spans="1:13" ht="27.75" customHeight="1" x14ac:dyDescent="0.25">
      <c r="D1227" s="105">
        <v>45693</v>
      </c>
    </row>
    <row r="1228" spans="1:13" ht="27.75" customHeight="1" x14ac:dyDescent="0.25">
      <c r="D1228" s="102">
        <v>45699</v>
      </c>
    </row>
    <row r="1229" spans="1:13" ht="27.75" customHeight="1" x14ac:dyDescent="0.25">
      <c r="D1229" s="105">
        <v>45707</v>
      </c>
    </row>
    <row r="1230" spans="1:13" ht="27.75" customHeight="1" x14ac:dyDescent="0.25">
      <c r="D1230" s="102">
        <v>45744</v>
      </c>
    </row>
    <row r="1231" spans="1:13" ht="27.75" customHeight="1" x14ac:dyDescent="0.25">
      <c r="D1231" s="105">
        <v>45748</v>
      </c>
    </row>
    <row r="1232" spans="1:13" ht="27.75" customHeight="1" x14ac:dyDescent="0.25">
      <c r="D1232" s="102">
        <v>45750</v>
      </c>
    </row>
    <row r="1233" spans="1:13" ht="27.75" customHeight="1" x14ac:dyDescent="0.25">
      <c r="D1233" s="105">
        <v>45765</v>
      </c>
    </row>
    <row r="1234" spans="1:13" ht="27.75" customHeight="1" x14ac:dyDescent="0.25">
      <c r="D1234" s="102">
        <v>45775</v>
      </c>
    </row>
    <row r="1235" spans="1:13" ht="27.75" customHeight="1" x14ac:dyDescent="0.25">
      <c r="D1235" s="105">
        <v>45841</v>
      </c>
    </row>
    <row r="1236" spans="1:13" ht="27.75" customHeight="1" x14ac:dyDescent="0.25">
      <c r="D1236" s="102">
        <v>45946</v>
      </c>
    </row>
    <row r="1237" spans="1:13" ht="27.75" customHeight="1" x14ac:dyDescent="0.25">
      <c r="D1237" s="105">
        <v>45951</v>
      </c>
    </row>
    <row r="1238" spans="1:13" ht="27.75" customHeight="1" x14ac:dyDescent="0.25">
      <c r="D1238" s="102">
        <v>46007</v>
      </c>
    </row>
    <row r="1239" spans="1:13" ht="27.75" customHeight="1" x14ac:dyDescent="0.25">
      <c r="D1239" s="105">
        <v>46007</v>
      </c>
    </row>
    <row r="1240" spans="1:13" ht="27.75" customHeight="1" x14ac:dyDescent="0.25">
      <c r="D1240" s="102">
        <v>46073</v>
      </c>
    </row>
    <row r="1241" spans="1:13" ht="27.75" customHeight="1" x14ac:dyDescent="0.25">
      <c r="D1241" s="105">
        <v>46087</v>
      </c>
    </row>
    <row r="1242" spans="1:13" ht="27.75" customHeight="1" x14ac:dyDescent="0.25">
      <c r="D1242" s="102">
        <v>46093</v>
      </c>
    </row>
    <row r="1243" spans="1:13" ht="27.75" customHeight="1" x14ac:dyDescent="0.25">
      <c r="D1243" s="105">
        <v>46112</v>
      </c>
    </row>
    <row r="1244" spans="1:13" ht="27.75" customHeight="1" x14ac:dyDescent="0.25">
      <c r="D1244" s="102">
        <v>46112</v>
      </c>
    </row>
    <row r="1245" spans="1:13" ht="27.75" customHeight="1" x14ac:dyDescent="0.25">
      <c r="D1245" s="105">
        <v>46128</v>
      </c>
    </row>
    <row r="1246" spans="1:13" ht="27.75" customHeight="1" x14ac:dyDescent="0.25">
      <c r="D1246" s="102">
        <v>46135</v>
      </c>
    </row>
    <row r="1247" spans="1:13" ht="27.75" customHeight="1" x14ac:dyDescent="0.25">
      <c r="D1247" s="105">
        <v>46178</v>
      </c>
    </row>
    <row r="1248" spans="1:13" ht="27.75" customHeight="1" x14ac:dyDescent="0.25">
      <c r="D1248" s="102">
        <v>46223</v>
      </c>
    </row>
    <row r="1249" spans="1:13" ht="27.75" customHeight="1" x14ac:dyDescent="0.25">
      <c r="D1249" s="105">
        <v>46241</v>
      </c>
    </row>
    <row r="1250" spans="1:13" ht="27.75" customHeight="1" x14ac:dyDescent="0.25">
      <c r="D1250" s="102">
        <v>43726</v>
      </c>
    </row>
    <row r="1251" spans="1:13" ht="27.75" customHeight="1" x14ac:dyDescent="0.25">
      <c r="D1251" s="105">
        <v>43762</v>
      </c>
    </row>
    <row r="1252" spans="1:13" ht="27.75" customHeight="1" x14ac:dyDescent="0.25">
      <c r="D1252" s="102">
        <v>43986</v>
      </c>
    </row>
    <row r="1253" spans="1:13" ht="27.75" customHeight="1" x14ac:dyDescent="0.25">
      <c r="D1253" s="105">
        <v>43998</v>
      </c>
    </row>
    <row r="1254" spans="1:13" ht="27.75" customHeight="1" x14ac:dyDescent="0.25">
      <c r="D1254" s="102">
        <v>44070</v>
      </c>
    </row>
    <row r="1255" spans="1:13" ht="27.75" customHeight="1" x14ac:dyDescent="0.25">
      <c r="D1255" s="105">
        <v>44161</v>
      </c>
    </row>
    <row r="1256" spans="1:13" ht="27.75" customHeight="1" x14ac:dyDescent="0.25">
      <c r="D1256" s="102">
        <v>44161</v>
      </c>
    </row>
    <row r="1257" spans="1:13" ht="27.75" customHeight="1" x14ac:dyDescent="0.25">
      <c r="D1257" s="105">
        <v>44196</v>
      </c>
    </row>
    <row r="1258" spans="1:13" ht="27.75" customHeight="1" x14ac:dyDescent="0.25">
      <c r="D1258" s="102">
        <v>44238</v>
      </c>
    </row>
    <row r="1259" spans="1:13" ht="27.75" customHeight="1" x14ac:dyDescent="0.25">
      <c r="D1259" s="105">
        <v>44265</v>
      </c>
    </row>
    <row r="1260" spans="1:13" ht="27.75" customHeight="1" x14ac:dyDescent="0.25">
      <c r="D1260" s="102">
        <v>44265</v>
      </c>
    </row>
    <row r="1261" spans="1:13" ht="27.75" customHeight="1" x14ac:dyDescent="0.25">
      <c r="D1261" s="105">
        <v>44271</v>
      </c>
    </row>
    <row r="1262" spans="1:13" ht="27.75" customHeight="1" x14ac:dyDescent="0.25">
      <c r="D1262" s="102">
        <v>44272</v>
      </c>
    </row>
    <row r="1263" spans="1:13" ht="27.75" customHeight="1" x14ac:dyDescent="0.25">
      <c r="D1263" s="105">
        <v>44272</v>
      </c>
    </row>
    <row r="1264" spans="1:13" ht="27.75" customHeight="1" x14ac:dyDescent="0.25">
      <c r="D1264" s="102">
        <v>44272</v>
      </c>
    </row>
    <row r="1265" spans="1:13" ht="27.75" customHeight="1" x14ac:dyDescent="0.25">
      <c r="D1265" s="105">
        <v>44272</v>
      </c>
    </row>
    <row r="1266" spans="1:13" ht="27.75" customHeight="1" x14ac:dyDescent="0.25">
      <c r="D1266" s="102">
        <v>44295</v>
      </c>
    </row>
    <row r="1267" spans="1:13" ht="27.75" customHeight="1" x14ac:dyDescent="0.25">
      <c r="D1267" s="105">
        <v>44295</v>
      </c>
    </row>
    <row r="1268" spans="1:13" ht="27.75" customHeight="1" x14ac:dyDescent="0.25">
      <c r="D1268" s="102">
        <v>44343</v>
      </c>
    </row>
    <row r="1269" spans="1:13" ht="27.75" customHeight="1" x14ac:dyDescent="0.25">
      <c r="D1269" s="105">
        <v>44531</v>
      </c>
    </row>
    <row r="1270" spans="1:13" ht="27.75" customHeight="1" x14ac:dyDescent="0.25">
      <c r="D1270" s="102">
        <v>44613</v>
      </c>
    </row>
    <row r="1271" spans="1:13" ht="27.75" customHeight="1" x14ac:dyDescent="0.25">
      <c r="D1271" s="105">
        <v>44761</v>
      </c>
    </row>
    <row r="1272" spans="1:13" ht="27.75" customHeight="1" x14ac:dyDescent="0.25">
      <c r="D1272" s="102">
        <v>44761</v>
      </c>
    </row>
    <row r="1273" spans="1:13" ht="27.75" customHeight="1" x14ac:dyDescent="0.25">
      <c r="D1273" s="105">
        <v>44810</v>
      </c>
    </row>
    <row r="1274" spans="1:13" ht="27.75" customHeight="1" x14ac:dyDescent="0.25">
      <c r="D1274" s="102">
        <v>44985</v>
      </c>
    </row>
    <row r="1275" spans="1:13" ht="27.75" customHeight="1" x14ac:dyDescent="0.25">
      <c r="D1275" s="105">
        <v>45008</v>
      </c>
    </row>
    <row r="1276" spans="1:13" ht="27.75" customHeight="1" x14ac:dyDescent="0.25">
      <c r="D1276" s="102">
        <v>45012</v>
      </c>
    </row>
    <row r="1277" spans="1:13" ht="27.75" customHeight="1" x14ac:dyDescent="0.25">
      <c r="D1277" s="105">
        <v>45143</v>
      </c>
    </row>
    <row r="1278" spans="1:13" ht="27.75" customHeight="1" x14ac:dyDescent="0.25">
      <c r="D1278" s="102">
        <v>45168</v>
      </c>
    </row>
    <row r="1279" spans="1:13" ht="27.75" customHeight="1" x14ac:dyDescent="0.25">
      <c r="D1279" s="105">
        <v>45267</v>
      </c>
    </row>
    <row r="1280" spans="1:13" ht="27.75" customHeight="1" x14ac:dyDescent="0.25">
      <c r="D1280" s="102">
        <v>45328</v>
      </c>
    </row>
    <row r="1281" spans="1:13" ht="27.75" customHeight="1" x14ac:dyDescent="0.25">
      <c r="D1281" s="105">
        <v>45334</v>
      </c>
    </row>
    <row r="1282" spans="1:13" ht="27.75" customHeight="1" x14ac:dyDescent="0.25">
      <c r="D1282" s="102">
        <v>45335</v>
      </c>
    </row>
    <row r="1283" spans="1:13" ht="27.75" customHeight="1" x14ac:dyDescent="0.25">
      <c r="D1283" s="105">
        <v>45364</v>
      </c>
    </row>
    <row r="1284" spans="1:13" ht="27.75" customHeight="1" x14ac:dyDescent="0.25">
      <c r="D1284" s="102">
        <v>45364</v>
      </c>
    </row>
    <row r="1285" spans="1:13" ht="27.75" customHeight="1" x14ac:dyDescent="0.25">
      <c r="D1285" s="105">
        <v>45364</v>
      </c>
    </row>
    <row r="1286" spans="1:13" ht="27.75" customHeight="1" x14ac:dyDescent="0.25">
      <c r="D1286" s="102">
        <v>45364</v>
      </c>
    </row>
    <row r="1287" spans="1:13" ht="27.75" customHeight="1" x14ac:dyDescent="0.25">
      <c r="D1287" s="105">
        <v>45364</v>
      </c>
    </row>
    <row r="1288" spans="1:13" ht="27.75" customHeight="1" x14ac:dyDescent="0.25">
      <c r="D1288" s="102">
        <v>45364</v>
      </c>
    </row>
    <row r="1289" spans="1:13" ht="27.75" customHeight="1" x14ac:dyDescent="0.25">
      <c r="D1289" s="105">
        <v>45412</v>
      </c>
    </row>
    <row r="1290" spans="1:13" ht="27.75" customHeight="1" x14ac:dyDescent="0.25">
      <c r="D1290" s="102">
        <v>44838</v>
      </c>
    </row>
    <row r="1291" spans="1:13" ht="27.75" customHeight="1" x14ac:dyDescent="0.25">
      <c r="D1291" s="105">
        <v>44788</v>
      </c>
    </row>
    <row r="1292" spans="1:13" ht="27.75" customHeight="1" x14ac:dyDescent="0.25">
      <c r="D1292" s="102">
        <v>44862</v>
      </c>
    </row>
    <row r="1293" spans="1:13" ht="27.75" customHeight="1" x14ac:dyDescent="0.25">
      <c r="D1293" s="105">
        <v>45175</v>
      </c>
    </row>
    <row r="1294" spans="1:13" ht="27.75" customHeight="1" x14ac:dyDescent="0.25">
      <c r="D1294" s="102">
        <v>45574</v>
      </c>
    </row>
    <row r="1295" spans="1:13" ht="27.75" customHeight="1" x14ac:dyDescent="0.25">
      <c r="D1295" s="105">
        <v>45624</v>
      </c>
    </row>
    <row r="1296" spans="1:13" ht="27.75" customHeight="1" x14ac:dyDescent="0.25">
      <c r="D1296" s="102">
        <v>45866</v>
      </c>
    </row>
    <row r="1297" spans="1:13" ht="27.75" customHeight="1" x14ac:dyDescent="0.25">
      <c r="D1297" s="105">
        <v>44993</v>
      </c>
    </row>
    <row r="1298" spans="1:13" ht="27.75" customHeight="1" x14ac:dyDescent="0.25">
      <c r="D1298" s="102">
        <v>44895</v>
      </c>
    </row>
    <row r="1299" spans="1:13" ht="27.75" customHeight="1" x14ac:dyDescent="0.25">
      <c r="D1299" s="105">
        <v>44900</v>
      </c>
    </row>
    <row r="1300" spans="1:13" ht="27.75" customHeight="1" x14ac:dyDescent="0.25">
      <c r="D1300" s="102">
        <v>44926</v>
      </c>
    </row>
    <row r="1301" spans="1:13" ht="27.75" customHeight="1" x14ac:dyDescent="0.25">
      <c r="D1301" s="105">
        <v>45136</v>
      </c>
    </row>
    <row r="1302" spans="1:13" ht="27.75" customHeight="1" x14ac:dyDescent="0.25">
      <c r="D1302" s="102">
        <v>45617</v>
      </c>
    </row>
    <row r="1303" spans="1:13" ht="27.75" customHeight="1" x14ac:dyDescent="0.25">
      <c r="D1303" s="105">
        <v>43810</v>
      </c>
    </row>
    <row r="1304" spans="1:13" ht="27.75" customHeight="1" x14ac:dyDescent="0.25">
      <c r="D1304" s="102">
        <v>43966</v>
      </c>
    </row>
    <row r="1305" spans="1:13" ht="27.75" customHeight="1" x14ac:dyDescent="0.25">
      <c r="D1305" s="105">
        <v>43994</v>
      </c>
    </row>
    <row r="1306" spans="1:13" ht="27.75" customHeight="1" x14ac:dyDescent="0.25">
      <c r="D1306" s="102">
        <v>44013</v>
      </c>
    </row>
    <row r="1307" spans="1:13" ht="27.75" customHeight="1" x14ac:dyDescent="0.25">
      <c r="D1307" s="105">
        <v>44161</v>
      </c>
    </row>
    <row r="1308" spans="1:13" ht="27.75" customHeight="1" x14ac:dyDescent="0.25">
      <c r="D1308" s="102">
        <v>44505</v>
      </c>
    </row>
    <row r="1309" spans="1:13" ht="27.75" customHeight="1" x14ac:dyDescent="0.25">
      <c r="D1309" s="105">
        <v>45931</v>
      </c>
    </row>
    <row r="1310" spans="1:13" ht="27.75" customHeight="1" x14ac:dyDescent="0.25">
      <c r="D1310" s="102">
        <v>44307</v>
      </c>
    </row>
    <row r="1311" spans="1:13" ht="27.75" customHeight="1" x14ac:dyDescent="0.25">
      <c r="D1311" s="105">
        <v>44307</v>
      </c>
    </row>
    <row r="1312" spans="1:13" ht="27.75" customHeight="1" x14ac:dyDescent="0.25">
      <c r="D1312" s="102">
        <v>44307</v>
      </c>
    </row>
    <row r="1313" spans="1:13" ht="27.75" customHeight="1" x14ac:dyDescent="0.25">
      <c r="D1313" s="105">
        <v>44652</v>
      </c>
    </row>
    <row r="1314" spans="1:13" ht="27.75" customHeight="1" x14ac:dyDescent="0.25">
      <c r="D1314" s="102">
        <v>44652</v>
      </c>
    </row>
    <row r="1315" spans="1:13" ht="27.75" customHeight="1" x14ac:dyDescent="0.25">
      <c r="D1315" s="105">
        <v>44652</v>
      </c>
    </row>
    <row r="1316" spans="1:13" ht="27.75" customHeight="1" x14ac:dyDescent="0.25">
      <c r="D1316" s="102">
        <v>44677</v>
      </c>
    </row>
    <row r="1317" spans="1:13" ht="27.75" customHeight="1" x14ac:dyDescent="0.25">
      <c r="D1317" s="105">
        <v>45000</v>
      </c>
    </row>
    <row r="1318" spans="1:13" ht="27.75" customHeight="1" x14ac:dyDescent="0.25">
      <c r="D1318" s="102">
        <v>45008</v>
      </c>
    </row>
    <row r="1319" spans="1:13" ht="27.75" customHeight="1" x14ac:dyDescent="0.25">
      <c r="D1319" s="105">
        <v>45238</v>
      </c>
    </row>
    <row r="1320" spans="1:13" ht="27.75" customHeight="1" x14ac:dyDescent="0.25">
      <c r="D1320" s="102">
        <v>45875</v>
      </c>
    </row>
    <row r="1321" spans="1:13" ht="27.75" customHeight="1" x14ac:dyDescent="0.25">
      <c r="D1321" s="105">
        <v>45875</v>
      </c>
    </row>
    <row r="1322" spans="1:13" ht="27.75" customHeight="1" x14ac:dyDescent="0.25">
      <c r="D1322" s="102">
        <v>45887</v>
      </c>
    </row>
    <row r="1323" spans="1:13" ht="27.75" customHeight="1" x14ac:dyDescent="0.25">
      <c r="D1323" s="105">
        <v>45887</v>
      </c>
    </row>
    <row r="1324" spans="1:13" ht="27.75" customHeight="1" x14ac:dyDescent="0.25">
      <c r="D1324" s="102">
        <v>46148</v>
      </c>
    </row>
    <row r="1325" spans="1:13" ht="27.75" customHeight="1" x14ac:dyDescent="0.25">
      <c r="D1325" s="105">
        <v>46148</v>
      </c>
    </row>
    <row r="1326" spans="1:13" ht="27.75" customHeight="1" x14ac:dyDescent="0.25">
      <c r="D1326" s="102">
        <v>46154</v>
      </c>
    </row>
    <row r="1327" spans="1:13" ht="27.75" customHeight="1" x14ac:dyDescent="0.25">
      <c r="D1327" s="105">
        <v>46154</v>
      </c>
    </row>
    <row r="1328" spans="1:13" ht="27.75" customHeight="1" x14ac:dyDescent="0.25">
      <c r="D1328" s="102">
        <v>46154</v>
      </c>
    </row>
    <row r="1329" spans="1:13" ht="27.75" customHeight="1" x14ac:dyDescent="0.25">
      <c r="D1329" s="105">
        <v>46213</v>
      </c>
    </row>
    <row r="1330" spans="1:13" ht="27.75" customHeight="1" x14ac:dyDescent="0.25">
      <c r="D1330" s="102">
        <v>46223</v>
      </c>
    </row>
    <row r="1331" spans="1:13" ht="27.75" customHeight="1" x14ac:dyDescent="0.25">
      <c r="D1331" s="105">
        <v>46241</v>
      </c>
    </row>
    <row r="1332" spans="1:13" ht="27.75" customHeight="1" x14ac:dyDescent="0.25">
      <c r="D1332" s="102">
        <v>43880</v>
      </c>
    </row>
    <row r="1333" spans="1:13" ht="27.75" customHeight="1" x14ac:dyDescent="0.25">
      <c r="D1333" s="105">
        <v>45104</v>
      </c>
    </row>
    <row r="1334" spans="1:13" ht="27.75" customHeight="1" x14ac:dyDescent="0.25">
      <c r="D1334" s="102">
        <v>45792</v>
      </c>
    </row>
    <row r="1335" spans="1:13" ht="27.75" customHeight="1" x14ac:dyDescent="0.25">
      <c r="D1335" s="105">
        <v>45477</v>
      </c>
    </row>
    <row r="1336" spans="1:13" ht="27.75" customHeight="1" x14ac:dyDescent="0.25">
      <c r="D1336" s="102">
        <v>45635</v>
      </c>
    </row>
    <row r="1337" spans="1:13" ht="27.75" customHeight="1" x14ac:dyDescent="0.25">
      <c r="D1337" s="105">
        <v>44029</v>
      </c>
    </row>
    <row r="1338" spans="1:13" ht="27.75" customHeight="1" x14ac:dyDescent="0.25">
      <c r="D1338" s="102">
        <v>44040</v>
      </c>
    </row>
    <row r="1339" spans="1:13" ht="27.75" customHeight="1" x14ac:dyDescent="0.25">
      <c r="D1339" s="105">
        <v>44067</v>
      </c>
    </row>
    <row r="1340" spans="1:13" ht="27.75" customHeight="1" x14ac:dyDescent="0.25">
      <c r="D1340" s="102">
        <v>44067</v>
      </c>
    </row>
    <row r="1341" spans="1:13" ht="27.75" customHeight="1" x14ac:dyDescent="0.25">
      <c r="D1341" s="105">
        <v>44085</v>
      </c>
    </row>
    <row r="1342" spans="1:13" ht="27.75" customHeight="1" x14ac:dyDescent="0.25">
      <c r="D1342" s="102">
        <v>44134</v>
      </c>
    </row>
    <row r="1343" spans="1:13" ht="27.75" customHeight="1" x14ac:dyDescent="0.25">
      <c r="D1343" s="105">
        <v>44301</v>
      </c>
    </row>
    <row r="1344" spans="1:13" ht="27.75" customHeight="1" x14ac:dyDescent="0.25">
      <c r="D1344" s="102">
        <v>44316</v>
      </c>
    </row>
    <row r="1345" spans="1:13" ht="27.75" customHeight="1" x14ac:dyDescent="0.25">
      <c r="D1345" s="105">
        <v>44537</v>
      </c>
    </row>
    <row r="1346" spans="1:13" ht="27.75" customHeight="1" x14ac:dyDescent="0.25">
      <c r="D1346" s="102">
        <v>44771</v>
      </c>
    </row>
    <row r="1347" spans="1:13" ht="27.75" customHeight="1" x14ac:dyDescent="0.25">
      <c r="D1347" s="105">
        <v>44872</v>
      </c>
    </row>
    <row r="1348" spans="1:13" ht="27.75" customHeight="1" x14ac:dyDescent="0.25">
      <c r="D1348" s="102">
        <v>45597</v>
      </c>
    </row>
    <row r="1349" spans="1:13" ht="27.75" customHeight="1" x14ac:dyDescent="0.25">
      <c r="D1349" s="105">
        <v>45840</v>
      </c>
    </row>
    <row r="1350" spans="1:13" ht="27.75" customHeight="1" x14ac:dyDescent="0.25">
      <c r="D1350" s="102">
        <v>45869</v>
      </c>
    </row>
    <row r="1351" spans="1:13" ht="27.75" customHeight="1" x14ac:dyDescent="0.25">
      <c r="D1351" s="105">
        <v>45869</v>
      </c>
    </row>
    <row r="1352" spans="1:13" ht="27.75" customHeight="1" x14ac:dyDescent="0.25">
      <c r="D1352" s="102">
        <v>45971</v>
      </c>
    </row>
    <row r="1353" spans="1:13" ht="27.75" customHeight="1" x14ac:dyDescent="0.25">
      <c r="D1353" s="105">
        <v>46097</v>
      </c>
    </row>
    <row r="1354" spans="1:13" ht="27.75" customHeight="1" x14ac:dyDescent="0.25">
      <c r="D1354" s="102">
        <v>43621</v>
      </c>
    </row>
    <row r="1355" spans="1:13" ht="27.75" customHeight="1" x14ac:dyDescent="0.25">
      <c r="D1355" s="105">
        <v>43719</v>
      </c>
    </row>
    <row r="1356" spans="1:13" ht="27.75" customHeight="1" x14ac:dyDescent="0.25">
      <c r="D1356" s="102">
        <v>43728</v>
      </c>
    </row>
    <row r="1357" spans="1:13" ht="27.75" customHeight="1" x14ac:dyDescent="0.25">
      <c r="D1357" s="105">
        <v>43760</v>
      </c>
    </row>
    <row r="1358" spans="1:13" ht="27.75" customHeight="1" x14ac:dyDescent="0.25">
      <c r="D1358" s="102">
        <v>43791</v>
      </c>
    </row>
    <row r="1359" spans="1:13" ht="27.75" customHeight="1" x14ac:dyDescent="0.25">
      <c r="D1359" s="105">
        <v>43991</v>
      </c>
    </row>
    <row r="1360" spans="1:13" ht="27.75" customHeight="1" x14ac:dyDescent="0.25">
      <c r="D1360" s="102">
        <v>44099</v>
      </c>
    </row>
    <row r="1361" spans="1:13" ht="27.75" customHeight="1" x14ac:dyDescent="0.25">
      <c r="D1361" s="105">
        <v>44144</v>
      </c>
    </row>
    <row r="1362" spans="1:13" ht="27.75" customHeight="1" x14ac:dyDescent="0.25">
      <c r="D1362" s="102">
        <v>44196</v>
      </c>
    </row>
    <row r="1363" spans="1:13" ht="27.75" customHeight="1" x14ac:dyDescent="0.25">
      <c r="D1363" s="105">
        <v>44210</v>
      </c>
    </row>
    <row r="1364" spans="1:13" ht="27.75" customHeight="1" x14ac:dyDescent="0.25">
      <c r="D1364" s="102">
        <v>44210</v>
      </c>
    </row>
    <row r="1365" spans="1:13" ht="27.75" customHeight="1" x14ac:dyDescent="0.25">
      <c r="D1365" s="105">
        <v>44210</v>
      </c>
    </row>
    <row r="1366" spans="1:13" ht="27.75" customHeight="1" x14ac:dyDescent="0.25">
      <c r="D1366" s="102">
        <v>44397</v>
      </c>
    </row>
    <row r="1367" spans="1:13" ht="27.75" customHeight="1" x14ac:dyDescent="0.25">
      <c r="D1367" s="105">
        <v>44515</v>
      </c>
    </row>
    <row r="1368" spans="1:13" ht="27.75" customHeight="1" x14ac:dyDescent="0.25">
      <c r="D1368" s="102">
        <v>44546</v>
      </c>
    </row>
    <row r="1369" spans="1:13" ht="27.75" customHeight="1" x14ac:dyDescent="0.25">
      <c r="D1369" s="105">
        <v>44645</v>
      </c>
    </row>
    <row r="1370" spans="1:13" ht="27.75" customHeight="1" x14ac:dyDescent="0.25">
      <c r="D1370" s="102">
        <v>44673</v>
      </c>
    </row>
    <row r="1371" spans="1:13" ht="27.75" customHeight="1" x14ac:dyDescent="0.25">
      <c r="D1371" s="105">
        <v>44789</v>
      </c>
    </row>
    <row r="1372" spans="1:13" ht="27.75" customHeight="1" x14ac:dyDescent="0.25">
      <c r="D1372" s="102">
        <v>44804</v>
      </c>
    </row>
    <row r="1373" spans="1:13" ht="27.75" customHeight="1" x14ac:dyDescent="0.25">
      <c r="D1373" s="105">
        <v>44810</v>
      </c>
    </row>
    <row r="1374" spans="1:13" ht="27.75" customHeight="1" x14ac:dyDescent="0.25">
      <c r="D1374" s="102">
        <v>44813</v>
      </c>
    </row>
    <row r="1375" spans="1:13" ht="27.75" customHeight="1" x14ac:dyDescent="0.25">
      <c r="D1375" s="105">
        <v>44860</v>
      </c>
    </row>
    <row r="1376" spans="1:13" ht="27.75" customHeight="1" x14ac:dyDescent="0.25">
      <c r="D1376" s="102">
        <v>44895</v>
      </c>
    </row>
    <row r="1377" spans="1:13" ht="27.75" customHeight="1" x14ac:dyDescent="0.25">
      <c r="D1377" s="105">
        <v>44914</v>
      </c>
    </row>
    <row r="1378" spans="1:13" ht="27.75" customHeight="1" x14ac:dyDescent="0.25">
      <c r="D1378" s="102">
        <v>44985</v>
      </c>
    </row>
    <row r="1379" spans="1:13" ht="27.75" customHeight="1" x14ac:dyDescent="0.25">
      <c r="D1379" s="105">
        <v>45008</v>
      </c>
    </row>
    <row r="1380" spans="1:13" ht="27.75" customHeight="1" x14ac:dyDescent="0.25">
      <c r="D1380" s="102">
        <v>45035</v>
      </c>
    </row>
    <row r="1381" spans="1:13" ht="27.75" customHeight="1" x14ac:dyDescent="0.25">
      <c r="D1381" s="105">
        <v>45111</v>
      </c>
    </row>
    <row r="1382" spans="1:13" ht="27.75" customHeight="1" x14ac:dyDescent="0.25">
      <c r="D1382" s="102">
        <v>45111</v>
      </c>
    </row>
    <row r="1383" spans="1:13" ht="27.75" customHeight="1" x14ac:dyDescent="0.25">
      <c r="D1383" s="105">
        <v>45111</v>
      </c>
    </row>
    <row r="1384" spans="1:13" ht="27.75" customHeight="1" x14ac:dyDescent="0.25">
      <c r="D1384" s="102">
        <v>45119</v>
      </c>
    </row>
    <row r="1385" spans="1:13" ht="27.75" customHeight="1" x14ac:dyDescent="0.25">
      <c r="D1385" s="105">
        <v>45131</v>
      </c>
    </row>
    <row r="1386" spans="1:13" ht="27.75" customHeight="1" x14ac:dyDescent="0.25">
      <c r="D1386" s="102">
        <v>45166</v>
      </c>
    </row>
    <row r="1387" spans="1:13" ht="27.75" customHeight="1" x14ac:dyDescent="0.25">
      <c r="D1387" s="105">
        <v>45195</v>
      </c>
    </row>
    <row r="1388" spans="1:13" ht="27.75" customHeight="1" x14ac:dyDescent="0.25">
      <c r="D1388" s="102">
        <v>45229</v>
      </c>
    </row>
    <row r="1389" spans="1:13" ht="27.75" customHeight="1" x14ac:dyDescent="0.25">
      <c r="D1389" s="105">
        <v>45282</v>
      </c>
    </row>
    <row r="1390" spans="1:13" ht="27.75" customHeight="1" x14ac:dyDescent="0.25">
      <c r="D1390" s="102">
        <v>45344</v>
      </c>
    </row>
    <row r="1391" spans="1:13" ht="27.75" customHeight="1" x14ac:dyDescent="0.25">
      <c r="D1391" s="105">
        <v>45349</v>
      </c>
    </row>
    <row r="1392" spans="1:13" ht="27.75" customHeight="1" x14ac:dyDescent="0.25">
      <c r="D1392" s="102">
        <v>45471</v>
      </c>
    </row>
    <row r="1393" spans="1:13" ht="27.75" customHeight="1" x14ac:dyDescent="0.25">
      <c r="D1393" s="105">
        <v>45499</v>
      </c>
    </row>
    <row r="1394" spans="1:13" ht="27.75" customHeight="1" x14ac:dyDescent="0.25">
      <c r="D1394" s="102">
        <v>45509</v>
      </c>
    </row>
    <row r="1395" spans="1:13" ht="27.75" customHeight="1" x14ac:dyDescent="0.25">
      <c r="D1395" s="105">
        <v>45523</v>
      </c>
    </row>
    <row r="1396" spans="1:13" ht="27.75" customHeight="1" x14ac:dyDescent="0.25">
      <c r="D1396" s="102">
        <v>45551</v>
      </c>
    </row>
    <row r="1397" spans="1:13" ht="27.75" customHeight="1" x14ac:dyDescent="0.25">
      <c r="D1397" s="105">
        <v>45615</v>
      </c>
    </row>
    <row r="1398" spans="1:13" ht="27.75" customHeight="1" x14ac:dyDescent="0.25">
      <c r="D1398" s="102">
        <v>45625</v>
      </c>
    </row>
    <row r="1399" spans="1:13" ht="27.75" customHeight="1" x14ac:dyDescent="0.25">
      <c r="D1399" s="105">
        <v>45632</v>
      </c>
    </row>
    <row r="1400" spans="1:13" ht="27.75" customHeight="1" x14ac:dyDescent="0.25">
      <c r="D1400" s="102">
        <v>45692</v>
      </c>
    </row>
    <row r="1401" spans="1:13" ht="27.75" customHeight="1" x14ac:dyDescent="0.25">
      <c r="D1401" s="105">
        <v>45692</v>
      </c>
    </row>
    <row r="1402" spans="1:13" ht="27.75" customHeight="1" x14ac:dyDescent="0.25">
      <c r="D1402" s="102">
        <v>45744</v>
      </c>
    </row>
    <row r="1403" spans="1:13" ht="27.75" customHeight="1" x14ac:dyDescent="0.25">
      <c r="D1403" s="105">
        <v>45749</v>
      </c>
    </row>
    <row r="1404" spans="1:13" ht="27.75" customHeight="1" x14ac:dyDescent="0.25">
      <c r="D1404" s="102">
        <v>45758</v>
      </c>
    </row>
    <row r="1405" spans="1:13" ht="27.75" customHeight="1" x14ac:dyDescent="0.25">
      <c r="D1405" s="105">
        <v>45758</v>
      </c>
    </row>
    <row r="1406" spans="1:13" ht="27.75" customHeight="1" x14ac:dyDescent="0.25">
      <c r="D1406" s="102">
        <v>45786</v>
      </c>
    </row>
    <row r="1407" spans="1:13" ht="27.75" customHeight="1" x14ac:dyDescent="0.25">
      <c r="D1407" s="105">
        <v>45831</v>
      </c>
    </row>
    <row r="1408" spans="1:13" ht="27.75" customHeight="1" x14ac:dyDescent="0.25">
      <c r="D1408" s="102">
        <v>45866</v>
      </c>
    </row>
    <row r="1409" spans="1:13" ht="27.75" customHeight="1" x14ac:dyDescent="0.25">
      <c r="D1409" s="105">
        <v>45869</v>
      </c>
    </row>
    <row r="1410" spans="1:13" ht="27.75" customHeight="1" x14ac:dyDescent="0.25">
      <c r="D1410" s="102">
        <v>45912</v>
      </c>
    </row>
    <row r="1411" spans="1:13" ht="27.75" customHeight="1" x14ac:dyDescent="0.25">
      <c r="D1411" s="105">
        <v>45946</v>
      </c>
    </row>
    <row r="1412" spans="1:13" ht="27.75" customHeight="1" x14ac:dyDescent="0.25">
      <c r="D1412" s="102">
        <v>46073</v>
      </c>
    </row>
    <row r="1413" spans="1:13" ht="27.75" customHeight="1" x14ac:dyDescent="0.25">
      <c r="D1413" s="105">
        <v>46093</v>
      </c>
    </row>
    <row r="1414" spans="1:13" ht="27.75" customHeight="1" x14ac:dyDescent="0.25">
      <c r="D1414" s="102">
        <v>46112</v>
      </c>
    </row>
    <row r="1415" spans="1:13" ht="27.75" customHeight="1" x14ac:dyDescent="0.25">
      <c r="D1415" s="105">
        <v>46213</v>
      </c>
    </row>
    <row r="1416" spans="1:13" ht="27.75" customHeight="1" x14ac:dyDescent="0.25">
      <c r="D1416" s="102">
        <v>46232</v>
      </c>
    </row>
    <row r="1417" spans="1:13" ht="27.75" customHeight="1" x14ac:dyDescent="0.25">
      <c r="D1417" s="105">
        <v>44135</v>
      </c>
    </row>
    <row r="1418" spans="1:13" ht="27.75" customHeight="1" x14ac:dyDescent="0.25">
      <c r="D1418" s="102">
        <v>44140</v>
      </c>
    </row>
    <row r="1419" spans="1:13" ht="27.75" customHeight="1" x14ac:dyDescent="0.25">
      <c r="D1419" s="105">
        <v>44140</v>
      </c>
    </row>
    <row r="1420" spans="1:13" ht="27.75" customHeight="1" x14ac:dyDescent="0.25">
      <c r="D1420" s="102">
        <v>44140</v>
      </c>
    </row>
    <row r="1421" spans="1:13" ht="27.75" customHeight="1" x14ac:dyDescent="0.25">
      <c r="D1421" s="105">
        <v>44169</v>
      </c>
    </row>
    <row r="1422" spans="1:13" ht="27.75" customHeight="1" x14ac:dyDescent="0.25">
      <c r="D1422" s="102">
        <v>44265</v>
      </c>
    </row>
    <row r="1423" spans="1:13" ht="27.75" customHeight="1" x14ac:dyDescent="0.25">
      <c r="D1423" s="105">
        <v>44302</v>
      </c>
    </row>
    <row r="1424" spans="1:13" ht="27.75" customHeight="1" x14ac:dyDescent="0.25">
      <c r="D1424" s="102">
        <v>44306</v>
      </c>
    </row>
    <row r="1425" spans="1:13" ht="27.75" customHeight="1" x14ac:dyDescent="0.25">
      <c r="D1425" s="105">
        <v>44343</v>
      </c>
    </row>
    <row r="1426" spans="1:13" ht="27.75" customHeight="1" x14ac:dyDescent="0.25">
      <c r="D1426" s="102">
        <v>44671</v>
      </c>
    </row>
    <row r="1427" spans="1:13" ht="27.75" customHeight="1" x14ac:dyDescent="0.25">
      <c r="D1427" s="105">
        <v>44872</v>
      </c>
    </row>
    <row r="1428" spans="1:13" ht="27.75" customHeight="1" x14ac:dyDescent="0.25">
      <c r="D1428" s="102">
        <v>44872</v>
      </c>
    </row>
    <row r="1429" spans="1:13" ht="27.75" customHeight="1" x14ac:dyDescent="0.25">
      <c r="D1429" s="105">
        <v>45027</v>
      </c>
    </row>
    <row r="1430" spans="1:13" ht="27.75" customHeight="1" x14ac:dyDescent="0.25">
      <c r="D1430" s="102">
        <v>45168</v>
      </c>
    </row>
    <row r="1431" spans="1:13" ht="27.75" customHeight="1" x14ac:dyDescent="0.25">
      <c r="D1431" s="105">
        <v>45174</v>
      </c>
    </row>
    <row r="1432" spans="1:13" ht="27.75" customHeight="1" x14ac:dyDescent="0.25">
      <c r="D1432" s="102">
        <v>45334</v>
      </c>
    </row>
    <row r="1433" spans="1:13" ht="27.75" customHeight="1" x14ac:dyDescent="0.25">
      <c r="D1433" s="105">
        <v>45387</v>
      </c>
    </row>
    <row r="1434" spans="1:13" ht="27.75" customHeight="1" x14ac:dyDescent="0.25">
      <c r="D1434" s="102">
        <v>45387</v>
      </c>
    </row>
    <row r="1435" spans="1:13" ht="27.75" customHeight="1" x14ac:dyDescent="0.25">
      <c r="D1435" s="105">
        <v>45387</v>
      </c>
    </row>
    <row r="1436" spans="1:13" ht="27.75" customHeight="1" x14ac:dyDescent="0.25">
      <c r="D1436" s="102">
        <v>45387</v>
      </c>
    </row>
    <row r="1437" spans="1:13" ht="27.75" customHeight="1" x14ac:dyDescent="0.25">
      <c r="D1437" s="105">
        <v>45705</v>
      </c>
    </row>
    <row r="1438" spans="1:13" ht="27.75" customHeight="1" x14ac:dyDescent="0.25">
      <c r="D1438" s="102">
        <v>45709</v>
      </c>
    </row>
    <row r="1439" spans="1:13" ht="27.75" customHeight="1" x14ac:dyDescent="0.25">
      <c r="D1439" s="105">
        <v>45887</v>
      </c>
    </row>
    <row r="1440" spans="1:13" ht="27.75" customHeight="1" x14ac:dyDescent="0.25">
      <c r="D1440" s="102">
        <v>45954</v>
      </c>
    </row>
    <row r="1441" spans="1:13" ht="27.75" customHeight="1" x14ac:dyDescent="0.25">
      <c r="D1441" s="105">
        <v>46111</v>
      </c>
    </row>
    <row r="1442" spans="1:13" ht="27.75" customHeight="1" x14ac:dyDescent="0.25">
      <c r="D1442" s="102">
        <v>46178</v>
      </c>
    </row>
    <row r="1443" spans="1:13" ht="27.75" customHeight="1" x14ac:dyDescent="0.25">
      <c r="D1443" s="105">
        <v>45085</v>
      </c>
    </row>
    <row r="1444" spans="1:13" ht="27.75" customHeight="1" x14ac:dyDescent="0.25">
      <c r="D1444" s="102">
        <v>44085</v>
      </c>
    </row>
    <row r="1445" spans="1:13" ht="27.75" customHeight="1" x14ac:dyDescent="0.25">
      <c r="D1445" s="105">
        <v>44518</v>
      </c>
    </row>
    <row r="1446" spans="1:13" ht="27.75" customHeight="1" x14ac:dyDescent="0.25">
      <c r="D1446" s="102">
        <v>44533</v>
      </c>
    </row>
    <row r="1447" spans="1:13" ht="27.75" customHeight="1" x14ac:dyDescent="0.25">
      <c r="D1447" s="105">
        <v>44620</v>
      </c>
    </row>
    <row r="1448" spans="1:13" ht="27.75" customHeight="1" x14ac:dyDescent="0.25">
      <c r="D1448" s="102">
        <v>44651</v>
      </c>
    </row>
    <row r="1449" spans="1:13" ht="27.75" customHeight="1" x14ac:dyDescent="0.25">
      <c r="D1449" s="105">
        <v>44673</v>
      </c>
    </row>
    <row r="1450" spans="1:13" ht="27.75" customHeight="1" x14ac:dyDescent="0.25">
      <c r="D1450" s="102">
        <v>44673</v>
      </c>
    </row>
    <row r="1451" spans="1:13" ht="27.75" customHeight="1" x14ac:dyDescent="0.25">
      <c r="D1451" s="105">
        <v>44680</v>
      </c>
    </row>
    <row r="1452" spans="1:13" ht="27.75" customHeight="1" x14ac:dyDescent="0.25">
      <c r="D1452" s="102">
        <v>44680</v>
      </c>
    </row>
    <row r="1453" spans="1:13" ht="27.75" customHeight="1" x14ac:dyDescent="0.25">
      <c r="D1453" s="105">
        <v>44680</v>
      </c>
    </row>
    <row r="1454" spans="1:13" ht="27.75" customHeight="1" x14ac:dyDescent="0.25">
      <c r="D1454" s="102">
        <v>44680</v>
      </c>
    </row>
    <row r="1455" spans="1:13" ht="27.75" customHeight="1" x14ac:dyDescent="0.25">
      <c r="D1455" s="105">
        <v>44740</v>
      </c>
    </row>
    <row r="1456" spans="1:13" ht="27.75" customHeight="1" x14ac:dyDescent="0.25">
      <c r="D1456" s="102">
        <v>44768</v>
      </c>
    </row>
    <row r="1457" spans="1:13" ht="27.75" customHeight="1" x14ac:dyDescent="0.25">
      <c r="D1457" s="105">
        <v>44768</v>
      </c>
    </row>
    <row r="1458" spans="1:13" ht="27.75" customHeight="1" x14ac:dyDescent="0.25">
      <c r="D1458" s="102">
        <v>44872</v>
      </c>
    </row>
    <row r="1459" spans="1:13" ht="27.75" customHeight="1" x14ac:dyDescent="0.25">
      <c r="D1459" s="105">
        <v>44895</v>
      </c>
    </row>
    <row r="1460" spans="1:13" ht="27.75" customHeight="1" x14ac:dyDescent="0.25">
      <c r="D1460" s="102">
        <v>44907</v>
      </c>
    </row>
    <row r="1461" spans="1:13" ht="27.75" customHeight="1" x14ac:dyDescent="0.25">
      <c r="D1461" s="105">
        <v>45000</v>
      </c>
    </row>
    <row r="1462" spans="1:13" ht="27.75" customHeight="1" x14ac:dyDescent="0.25">
      <c r="D1462" s="102">
        <v>45000</v>
      </c>
    </row>
    <row r="1463" spans="1:13" ht="27.75" customHeight="1" x14ac:dyDescent="0.25">
      <c r="D1463" s="105">
        <v>45071</v>
      </c>
    </row>
    <row r="1464" spans="1:13" ht="27.75" customHeight="1" x14ac:dyDescent="0.25">
      <c r="D1464" s="102">
        <v>45091</v>
      </c>
    </row>
    <row r="1465" spans="1:13" ht="27.75" customHeight="1" x14ac:dyDescent="0.25">
      <c r="D1465" s="105">
        <v>45091</v>
      </c>
    </row>
    <row r="1466" spans="1:13" ht="27.75" customHeight="1" x14ac:dyDescent="0.25">
      <c r="D1466" s="102">
        <v>45110</v>
      </c>
    </row>
    <row r="1467" spans="1:13" ht="27.75" customHeight="1" x14ac:dyDescent="0.25">
      <c r="D1467" s="105">
        <v>45143</v>
      </c>
    </row>
    <row r="1468" spans="1:13" ht="27.75" customHeight="1" x14ac:dyDescent="0.25">
      <c r="D1468" s="102">
        <v>45195</v>
      </c>
    </row>
    <row r="1469" spans="1:13" ht="27.75" customHeight="1" x14ac:dyDescent="0.25">
      <c r="D1469" s="105">
        <v>45195</v>
      </c>
    </row>
    <row r="1470" spans="1:13" ht="27.75" customHeight="1" x14ac:dyDescent="0.25">
      <c r="D1470" s="102">
        <v>45196</v>
      </c>
    </row>
    <row r="1471" spans="1:13" ht="27.75" customHeight="1" x14ac:dyDescent="0.25">
      <c r="D1471" s="105">
        <v>45196</v>
      </c>
    </row>
    <row r="1472" spans="1:13" ht="27.75" customHeight="1" x14ac:dyDescent="0.25">
      <c r="D1472" s="102">
        <v>45198</v>
      </c>
    </row>
    <row r="1473" spans="1:13" ht="27.75" customHeight="1" x14ac:dyDescent="0.25">
      <c r="D1473" s="105">
        <v>45210</v>
      </c>
    </row>
    <row r="1474" spans="1:13" ht="27.75" customHeight="1" x14ac:dyDescent="0.25">
      <c r="D1474" s="102">
        <v>45211</v>
      </c>
    </row>
    <row r="1475" spans="1:13" ht="27.75" customHeight="1" x14ac:dyDescent="0.25">
      <c r="D1475" s="105">
        <v>45222</v>
      </c>
    </row>
    <row r="1476" spans="1:13" ht="27.75" customHeight="1" x14ac:dyDescent="0.25">
      <c r="D1476" s="102">
        <v>45225</v>
      </c>
    </row>
    <row r="1477" spans="1:13" ht="27.75" customHeight="1" x14ac:dyDescent="0.25">
      <c r="D1477" s="105">
        <v>45250</v>
      </c>
    </row>
    <row r="1478" spans="1:13" ht="27.75" customHeight="1" x14ac:dyDescent="0.25">
      <c r="D1478" s="102">
        <v>45259</v>
      </c>
    </row>
    <row r="1479" spans="1:13" ht="27.75" customHeight="1" x14ac:dyDescent="0.25">
      <c r="D1479" s="105">
        <v>45271</v>
      </c>
    </row>
    <row r="1480" spans="1:13" ht="27.75" customHeight="1" x14ac:dyDescent="0.25">
      <c r="D1480" s="102">
        <v>45338</v>
      </c>
    </row>
    <row r="1481" spans="1:13" ht="27.75" customHeight="1" x14ac:dyDescent="0.25">
      <c r="D1481" s="105">
        <v>45352</v>
      </c>
    </row>
    <row r="1482" spans="1:13" ht="27.75" customHeight="1" x14ac:dyDescent="0.25">
      <c r="D1482" s="102">
        <v>45481</v>
      </c>
    </row>
    <row r="1483" spans="1:13" ht="27.75" customHeight="1" x14ac:dyDescent="0.25">
      <c r="D1483" s="105">
        <v>45534</v>
      </c>
    </row>
    <row r="1484" spans="1:13" ht="27.75" customHeight="1" x14ac:dyDescent="0.25">
      <c r="D1484" s="102">
        <v>45534</v>
      </c>
    </row>
    <row r="1485" spans="1:13" ht="27.75" customHeight="1" x14ac:dyDescent="0.25">
      <c r="D1485" s="105">
        <v>45534</v>
      </c>
    </row>
    <row r="1486" spans="1:13" ht="27.75" customHeight="1" x14ac:dyDescent="0.25">
      <c r="D1486" s="102">
        <v>45551</v>
      </c>
    </row>
    <row r="1487" spans="1:13" ht="27.75" customHeight="1" x14ac:dyDescent="0.25">
      <c r="D1487" s="105">
        <v>45552</v>
      </c>
    </row>
    <row r="1488" spans="1:13" ht="27.75" customHeight="1" x14ac:dyDescent="0.25">
      <c r="D1488" s="102">
        <v>45555</v>
      </c>
    </row>
    <row r="1489" spans="1:13" ht="27.75" customHeight="1" x14ac:dyDescent="0.25">
      <c r="D1489" s="105">
        <v>45757</v>
      </c>
    </row>
    <row r="1490" spans="1:13" ht="27.75" customHeight="1" x14ac:dyDescent="0.25">
      <c r="D1490" s="102">
        <v>45908</v>
      </c>
    </row>
    <row r="1491" spans="1:13" ht="27.75" customHeight="1" x14ac:dyDescent="0.25">
      <c r="D1491" s="105">
        <v>45908</v>
      </c>
    </row>
    <row r="1492" spans="1:13" ht="27.75" customHeight="1" x14ac:dyDescent="0.25">
      <c r="D1492" s="102">
        <v>45908</v>
      </c>
    </row>
    <row r="1493" spans="1:13" ht="27.75" customHeight="1" x14ac:dyDescent="0.25">
      <c r="D1493" s="105">
        <v>45930</v>
      </c>
    </row>
    <row r="1494" spans="1:13" ht="27.75" customHeight="1" x14ac:dyDescent="0.25">
      <c r="D1494" s="102">
        <v>45254</v>
      </c>
    </row>
    <row r="1495" spans="1:13" ht="27.75" customHeight="1" x14ac:dyDescent="0.25">
      <c r="D1495" s="105">
        <v>45254</v>
      </c>
    </row>
    <row r="1496" spans="1:13" ht="27.75" customHeight="1" x14ac:dyDescent="0.25">
      <c r="D1496" s="102">
        <v>44854</v>
      </c>
    </row>
    <row r="1497" spans="1:13" ht="27.75" customHeight="1" x14ac:dyDescent="0.25">
      <c r="D1497" s="105">
        <v>44855</v>
      </c>
    </row>
    <row r="1498" spans="1:13" ht="27.75" customHeight="1" x14ac:dyDescent="0.25">
      <c r="D1498" s="102">
        <v>44985</v>
      </c>
    </row>
    <row r="1499" spans="1:13" ht="27.75" customHeight="1" x14ac:dyDescent="0.25">
      <c r="D1499" s="105">
        <v>44985</v>
      </c>
    </row>
    <row r="1500" spans="1:13" ht="27.75" customHeight="1" x14ac:dyDescent="0.25">
      <c r="D1500" s="102">
        <v>45022</v>
      </c>
    </row>
    <row r="1501" spans="1:13" ht="27.75" customHeight="1" x14ac:dyDescent="0.25">
      <c r="D1501" s="105">
        <v>45022</v>
      </c>
    </row>
    <row r="1502" spans="1:13" ht="27.75" customHeight="1" x14ac:dyDescent="0.25">
      <c r="D1502" s="102">
        <v>45022</v>
      </c>
    </row>
    <row r="1503" spans="1:13" ht="27.75" customHeight="1" x14ac:dyDescent="0.25">
      <c r="D1503" s="105">
        <v>45022</v>
      </c>
    </row>
    <row r="1504" spans="1:13" ht="27.75" customHeight="1" x14ac:dyDescent="0.25">
      <c r="D1504" s="102">
        <v>43990</v>
      </c>
    </row>
    <row r="1505" spans="1:13" ht="27.75" customHeight="1" x14ac:dyDescent="0.25">
      <c r="D1505" s="105">
        <v>45212</v>
      </c>
    </row>
    <row r="1506" spans="1:13" ht="27.75" customHeight="1" x14ac:dyDescent="0.25">
      <c r="D1506" s="102">
        <v>45973</v>
      </c>
    </row>
    <row r="1507" spans="1:13" ht="27.75" customHeight="1" x14ac:dyDescent="0.25">
      <c r="D1507" s="105">
        <v>46092</v>
      </c>
    </row>
    <row r="1508" spans="1:13" ht="27.75" customHeight="1" x14ac:dyDescent="0.25">
      <c r="D1508" s="102">
        <v>45104</v>
      </c>
    </row>
    <row r="1509" spans="1:13" ht="27.75" customHeight="1" x14ac:dyDescent="0.25">
      <c r="D1509" s="105">
        <v>45169</v>
      </c>
    </row>
    <row r="1510" spans="1:13" ht="27.75" customHeight="1" x14ac:dyDescent="0.25">
      <c r="D1510" s="102">
        <v>44001</v>
      </c>
    </row>
    <row r="1511" spans="1:13" ht="27.75" customHeight="1" x14ac:dyDescent="0.25">
      <c r="D1511" s="105">
        <v>44078</v>
      </c>
    </row>
    <row r="1512" spans="1:13" ht="27.75" customHeight="1" x14ac:dyDescent="0.25">
      <c r="D1512" s="102">
        <v>44095</v>
      </c>
    </row>
    <row r="1513" spans="1:13" ht="27.75" customHeight="1" x14ac:dyDescent="0.25">
      <c r="D1513" s="105">
        <v>44242</v>
      </c>
    </row>
    <row r="1514" spans="1:13" ht="27.75" customHeight="1" x14ac:dyDescent="0.25">
      <c r="D1514" s="102">
        <v>44242</v>
      </c>
    </row>
    <row r="1515" spans="1:13" ht="27.75" customHeight="1" x14ac:dyDescent="0.25">
      <c r="D1515" s="105">
        <v>45068</v>
      </c>
    </row>
    <row r="1516" spans="1:13" ht="27.75" customHeight="1" x14ac:dyDescent="0.25">
      <c r="D1516" s="102">
        <v>44649</v>
      </c>
    </row>
    <row r="1517" spans="1:13" ht="27.75" customHeight="1" x14ac:dyDescent="0.25">
      <c r="D1517" s="105">
        <v>44649</v>
      </c>
    </row>
    <row r="1518" spans="1:13" ht="27.75" customHeight="1" x14ac:dyDescent="0.25">
      <c r="D1518" s="102">
        <v>44649</v>
      </c>
    </row>
    <row r="1519" spans="1:13" ht="27.75" customHeight="1" x14ac:dyDescent="0.25">
      <c r="D1519" s="105">
        <v>44649</v>
      </c>
    </row>
    <row r="1520" spans="1:13" ht="27.75" customHeight="1" x14ac:dyDescent="0.25">
      <c r="D1520" s="102">
        <v>44735</v>
      </c>
    </row>
    <row r="1521" spans="1:13" ht="27.75" customHeight="1" x14ac:dyDescent="0.25">
      <c r="D1521" s="105">
        <v>44735</v>
      </c>
    </row>
    <row r="1522" spans="1:13" ht="27.75" customHeight="1" x14ac:dyDescent="0.25">
      <c r="D1522" s="102">
        <v>44858</v>
      </c>
    </row>
    <row r="1523" spans="1:13" ht="27.75" customHeight="1" x14ac:dyDescent="0.25">
      <c r="D1523" s="105">
        <v>44858</v>
      </c>
    </row>
    <row r="1524" spans="1:13" ht="27.75" customHeight="1" x14ac:dyDescent="0.25">
      <c r="D1524" s="102">
        <v>44858</v>
      </c>
    </row>
    <row r="1525" spans="1:13" ht="27.75" customHeight="1" x14ac:dyDescent="0.25">
      <c r="D1525" s="105">
        <v>44924</v>
      </c>
    </row>
    <row r="1526" spans="1:13" ht="27.75" customHeight="1" x14ac:dyDescent="0.25">
      <c r="D1526" s="102">
        <v>44924</v>
      </c>
    </row>
    <row r="1527" spans="1:13" ht="27.75" customHeight="1" x14ac:dyDescent="0.25">
      <c r="D1527" s="105">
        <v>44924</v>
      </c>
    </row>
    <row r="1528" spans="1:13" ht="27.75" customHeight="1" x14ac:dyDescent="0.25">
      <c r="D1528" s="102">
        <v>45050</v>
      </c>
    </row>
    <row r="1529" spans="1:13" ht="27.75" customHeight="1" x14ac:dyDescent="0.25">
      <c r="D1529" s="105">
        <v>45106</v>
      </c>
    </row>
    <row r="1530" spans="1:13" ht="27.75" customHeight="1" x14ac:dyDescent="0.25">
      <c r="D1530" s="102">
        <v>45168</v>
      </c>
    </row>
    <row r="1531" spans="1:13" ht="27.75" customHeight="1" x14ac:dyDescent="0.25">
      <c r="D1531" s="105">
        <v>45271</v>
      </c>
    </row>
    <row r="1532" spans="1:13" ht="27.75" customHeight="1" x14ac:dyDescent="0.25">
      <c r="D1532" s="102">
        <v>45352</v>
      </c>
    </row>
    <row r="1533" spans="1:13" ht="27.75" customHeight="1" x14ac:dyDescent="0.25">
      <c r="D1533" s="105">
        <v>44020</v>
      </c>
    </row>
    <row r="1534" spans="1:13" ht="27.75" customHeight="1" x14ac:dyDescent="0.25">
      <c r="D1534" s="102">
        <v>44013</v>
      </c>
    </row>
    <row r="1535" spans="1:13" ht="27.75" customHeight="1" x14ac:dyDescent="0.25">
      <c r="D1535" s="105">
        <v>44418</v>
      </c>
    </row>
    <row r="1536" spans="1:13" ht="27.75" customHeight="1" x14ac:dyDescent="0.25">
      <c r="D1536" s="102">
        <v>44419</v>
      </c>
    </row>
    <row r="1537" spans="1:13" ht="27.75" customHeight="1" x14ac:dyDescent="0.25">
      <c r="D1537" s="105">
        <v>44442</v>
      </c>
    </row>
    <row r="1538" spans="1:13" ht="27.75" customHeight="1" x14ac:dyDescent="0.25">
      <c r="D1538" s="102">
        <v>44467</v>
      </c>
    </row>
    <row r="1539" spans="1:13" ht="27.75" customHeight="1" x14ac:dyDescent="0.25">
      <c r="D1539" s="105">
        <v>44477</v>
      </c>
    </row>
    <row r="1540" spans="1:13" ht="27.75" customHeight="1" x14ac:dyDescent="0.25">
      <c r="D1540" s="102">
        <v>44537</v>
      </c>
    </row>
    <row r="1541" spans="1:13" ht="27.75" customHeight="1" x14ac:dyDescent="0.25">
      <c r="D1541" s="105">
        <v>44644</v>
      </c>
    </row>
    <row r="1542" spans="1:13" ht="27.75" customHeight="1" x14ac:dyDescent="0.25">
      <c r="D1542" s="102">
        <v>44771</v>
      </c>
    </row>
    <row r="1543" spans="1:13" ht="27.75" customHeight="1" x14ac:dyDescent="0.25">
      <c r="D1543" s="105">
        <v>45056</v>
      </c>
    </row>
    <row r="1544" spans="1:13" ht="27.75" customHeight="1" x14ac:dyDescent="0.25">
      <c r="D1544" s="102">
        <v>45131</v>
      </c>
    </row>
    <row r="1545" spans="1:13" ht="27.75" customHeight="1" x14ac:dyDescent="0.25">
      <c r="D1545" s="105">
        <v>45145</v>
      </c>
    </row>
    <row r="1546" spans="1:13" ht="27.75" customHeight="1" x14ac:dyDescent="0.25">
      <c r="D1546" s="102">
        <v>45203</v>
      </c>
    </row>
    <row r="1547" spans="1:13" ht="27.75" customHeight="1" x14ac:dyDescent="0.25">
      <c r="D1547" s="105">
        <v>45245</v>
      </c>
    </row>
    <row r="1548" spans="1:13" ht="27.75" customHeight="1" x14ac:dyDescent="0.25">
      <c r="D1548" s="102">
        <v>45328</v>
      </c>
    </row>
    <row r="1549" spans="1:13" ht="27.75" customHeight="1" x14ac:dyDescent="0.25">
      <c r="D1549" s="105">
        <v>45523</v>
      </c>
    </row>
    <row r="1550" spans="1:13" ht="27.75" customHeight="1" x14ac:dyDescent="0.25">
      <c r="D1550" s="102">
        <v>45549</v>
      </c>
    </row>
    <row r="1551" spans="1:13" ht="27.75" customHeight="1" x14ac:dyDescent="0.25">
      <c r="D1551" s="105">
        <v>43551</v>
      </c>
    </row>
    <row r="1552" spans="1:13" ht="27.75" customHeight="1" x14ac:dyDescent="0.25">
      <c r="D1552" s="102">
        <v>43720</v>
      </c>
    </row>
    <row r="1553" spans="1:13" ht="27.75" customHeight="1" x14ac:dyDescent="0.25">
      <c r="D1553" s="105">
        <v>43788</v>
      </c>
    </row>
    <row r="1554" spans="1:13" ht="27.75" customHeight="1" x14ac:dyDescent="0.25">
      <c r="D1554" s="102">
        <v>43798</v>
      </c>
    </row>
    <row r="1555" spans="1:13" ht="27.75" customHeight="1" x14ac:dyDescent="0.25">
      <c r="D1555" s="105">
        <v>43839</v>
      </c>
    </row>
    <row r="1556" spans="1:13" ht="27.75" customHeight="1" x14ac:dyDescent="0.25">
      <c r="D1556" s="102">
        <v>43861</v>
      </c>
    </row>
    <row r="1557" spans="1:13" ht="27.75" customHeight="1" x14ac:dyDescent="0.25">
      <c r="D1557" s="105">
        <v>43946</v>
      </c>
    </row>
    <row r="1558" spans="1:13" ht="27.75" customHeight="1" x14ac:dyDescent="0.25">
      <c r="D1558" s="102">
        <v>43946</v>
      </c>
    </row>
    <row r="1559" spans="1:13" ht="27.75" customHeight="1" x14ac:dyDescent="0.25">
      <c r="D1559" s="105">
        <v>43948</v>
      </c>
    </row>
    <row r="1560" spans="1:13" ht="27.75" customHeight="1" x14ac:dyDescent="0.25">
      <c r="D1560" s="102">
        <v>43993</v>
      </c>
    </row>
    <row r="1561" spans="1:13" ht="27.75" customHeight="1" x14ac:dyDescent="0.25">
      <c r="D1561" s="105">
        <v>44000</v>
      </c>
    </row>
    <row r="1562" spans="1:13" ht="27.75" customHeight="1" x14ac:dyDescent="0.25">
      <c r="D1562" s="102">
        <v>44000</v>
      </c>
    </row>
    <row r="1563" spans="1:13" ht="27.75" customHeight="1" x14ac:dyDescent="0.25">
      <c r="D1563" s="105">
        <v>44000</v>
      </c>
    </row>
    <row r="1564" spans="1:13" ht="27.75" customHeight="1" x14ac:dyDescent="0.25">
      <c r="D1564" s="102">
        <v>44029</v>
      </c>
    </row>
    <row r="1565" spans="1:13" ht="27.75" customHeight="1" x14ac:dyDescent="0.25">
      <c r="D1565" s="105">
        <v>44081</v>
      </c>
    </row>
    <row r="1566" spans="1:13" ht="27.75" customHeight="1" x14ac:dyDescent="0.25">
      <c r="D1566" s="102">
        <v>44085</v>
      </c>
    </row>
    <row r="1567" spans="1:13" ht="27.75" customHeight="1" x14ac:dyDescent="0.25">
      <c r="D1567" s="105">
        <v>44095</v>
      </c>
    </row>
    <row r="1568" spans="1:13" ht="27.75" customHeight="1" x14ac:dyDescent="0.25">
      <c r="D1568" s="102">
        <v>44095</v>
      </c>
    </row>
    <row r="1569" spans="1:13" ht="27.75" customHeight="1" x14ac:dyDescent="0.25">
      <c r="D1569" s="105">
        <v>44124</v>
      </c>
    </row>
    <row r="1570" spans="1:13" ht="27.75" customHeight="1" x14ac:dyDescent="0.25">
      <c r="D1570" s="102">
        <v>44138</v>
      </c>
    </row>
    <row r="1571" spans="1:13" ht="27.75" customHeight="1" x14ac:dyDescent="0.25">
      <c r="D1571" s="105">
        <v>44189</v>
      </c>
    </row>
    <row r="1572" spans="1:13" ht="27.75" customHeight="1" x14ac:dyDescent="0.25">
      <c r="D1572" s="102">
        <v>44210</v>
      </c>
    </row>
    <row r="1573" spans="1:13" ht="27.75" customHeight="1" x14ac:dyDescent="0.25">
      <c r="D1573" s="105">
        <v>44218</v>
      </c>
    </row>
    <row r="1574" spans="1:13" ht="27.75" customHeight="1" x14ac:dyDescent="0.25">
      <c r="D1574" s="102">
        <v>44218</v>
      </c>
    </row>
    <row r="1575" spans="1:13" ht="27.75" customHeight="1" x14ac:dyDescent="0.25">
      <c r="D1575" s="105">
        <v>44263</v>
      </c>
    </row>
    <row r="1576" spans="1:13" ht="27.75" customHeight="1" x14ac:dyDescent="0.25">
      <c r="D1576" s="102">
        <v>44267</v>
      </c>
    </row>
    <row r="1577" spans="1:13" ht="27.75" customHeight="1" x14ac:dyDescent="0.25">
      <c r="D1577" s="105">
        <v>44267</v>
      </c>
    </row>
    <row r="1578" spans="1:13" ht="27.75" customHeight="1" x14ac:dyDescent="0.25">
      <c r="D1578" s="102">
        <v>44267</v>
      </c>
    </row>
    <row r="1579" spans="1:13" ht="27.75" customHeight="1" x14ac:dyDescent="0.25">
      <c r="D1579" s="105">
        <v>44267</v>
      </c>
    </row>
    <row r="1580" spans="1:13" ht="27.75" customHeight="1" x14ac:dyDescent="0.25">
      <c r="D1580" s="102">
        <v>44273</v>
      </c>
    </row>
    <row r="1581" spans="1:13" ht="27.75" customHeight="1" x14ac:dyDescent="0.25">
      <c r="D1581" s="105">
        <v>44273</v>
      </c>
    </row>
    <row r="1582" spans="1:13" ht="27.75" customHeight="1" x14ac:dyDescent="0.25">
      <c r="D1582" s="102">
        <v>44281</v>
      </c>
    </row>
    <row r="1583" spans="1:13" ht="27.75" customHeight="1" x14ac:dyDescent="0.25">
      <c r="D1583" s="105">
        <v>44299</v>
      </c>
    </row>
    <row r="1584" spans="1:13" ht="27.75" customHeight="1" x14ac:dyDescent="0.25">
      <c r="D1584" s="102">
        <v>44299</v>
      </c>
    </row>
    <row r="1585" spans="1:13" ht="27.75" customHeight="1" x14ac:dyDescent="0.25">
      <c r="D1585" s="105">
        <v>44299</v>
      </c>
    </row>
    <row r="1586" spans="1:13" ht="27.75" customHeight="1" x14ac:dyDescent="0.25">
      <c r="D1586" s="102">
        <v>44299</v>
      </c>
    </row>
    <row r="1587" spans="1:13" ht="27.75" customHeight="1" x14ac:dyDescent="0.25">
      <c r="D1587" s="105">
        <v>44299</v>
      </c>
    </row>
    <row r="1588" spans="1:13" ht="27.75" customHeight="1" x14ac:dyDescent="0.25">
      <c r="D1588" s="102">
        <v>44301</v>
      </c>
    </row>
    <row r="1589" spans="1:13" ht="27.75" customHeight="1" x14ac:dyDescent="0.25">
      <c r="D1589" s="105">
        <v>44348</v>
      </c>
    </row>
    <row r="1590" spans="1:13" ht="27.75" customHeight="1" x14ac:dyDescent="0.25">
      <c r="D1590" s="102">
        <v>44354</v>
      </c>
    </row>
    <row r="1591" spans="1:13" ht="27.75" customHeight="1" x14ac:dyDescent="0.25">
      <c r="D1591" s="105">
        <v>44355</v>
      </c>
    </row>
    <row r="1592" spans="1:13" ht="27.75" customHeight="1" x14ac:dyDescent="0.25">
      <c r="D1592" s="102">
        <v>44377</v>
      </c>
    </row>
    <row r="1593" spans="1:13" ht="27.75" customHeight="1" x14ac:dyDescent="0.25">
      <c r="D1593" s="105">
        <v>44412</v>
      </c>
    </row>
    <row r="1594" spans="1:13" ht="27.75" customHeight="1" x14ac:dyDescent="0.25">
      <c r="D1594" s="102">
        <v>44414</v>
      </c>
    </row>
    <row r="1595" spans="1:13" ht="27.75" customHeight="1" x14ac:dyDescent="0.25">
      <c r="D1595" s="105">
        <v>44441</v>
      </c>
    </row>
    <row r="1596" spans="1:13" ht="27.75" customHeight="1" x14ac:dyDescent="0.25">
      <c r="D1596" s="102">
        <v>44441</v>
      </c>
    </row>
    <row r="1597" spans="1:13" ht="27.75" customHeight="1" x14ac:dyDescent="0.25">
      <c r="D1597" s="105">
        <v>44532</v>
      </c>
    </row>
    <row r="1598" spans="1:13" ht="27.75" customHeight="1" x14ac:dyDescent="0.25">
      <c r="D1598" s="102">
        <v>44575</v>
      </c>
    </row>
    <row r="1599" spans="1:13" ht="27.75" customHeight="1" x14ac:dyDescent="0.25">
      <c r="D1599" s="105">
        <v>44592</v>
      </c>
    </row>
    <row r="1600" spans="1:13" ht="27.75" customHeight="1" x14ac:dyDescent="0.25">
      <c r="D1600" s="102">
        <v>44649</v>
      </c>
    </row>
    <row r="1601" spans="1:13" ht="27.75" customHeight="1" x14ac:dyDescent="0.25">
      <c r="D1601" s="105">
        <v>44662</v>
      </c>
    </row>
    <row r="1602" spans="1:13" ht="27.75" customHeight="1" x14ac:dyDescent="0.25">
      <c r="D1602" s="102">
        <v>44670</v>
      </c>
    </row>
    <row r="1603" spans="1:13" ht="27.75" customHeight="1" x14ac:dyDescent="0.25">
      <c r="D1603" s="105">
        <v>44733</v>
      </c>
    </row>
    <row r="1604" spans="1:13" ht="27.75" customHeight="1" x14ac:dyDescent="0.25">
      <c r="D1604" s="102">
        <v>44753</v>
      </c>
    </row>
    <row r="1605" spans="1:13" ht="27.75" customHeight="1" x14ac:dyDescent="0.25">
      <c r="D1605" s="105">
        <v>44771</v>
      </c>
    </row>
    <row r="1606" spans="1:13" ht="27.75" customHeight="1" x14ac:dyDescent="0.25">
      <c r="D1606" s="102">
        <v>44771</v>
      </c>
    </row>
    <row r="1607" spans="1:13" ht="27.75" customHeight="1" x14ac:dyDescent="0.25">
      <c r="D1607" s="105">
        <v>44804</v>
      </c>
    </row>
    <row r="1608" spans="1:13" ht="27.75" customHeight="1" x14ac:dyDescent="0.25">
      <c r="D1608" s="102">
        <v>44952</v>
      </c>
    </row>
    <row r="1609" spans="1:13" ht="27.75" customHeight="1" x14ac:dyDescent="0.25">
      <c r="D1609" s="105">
        <v>44980</v>
      </c>
    </row>
    <row r="1610" spans="1:13" ht="27.75" customHeight="1" x14ac:dyDescent="0.25">
      <c r="D1610" s="102">
        <v>44987</v>
      </c>
    </row>
    <row r="1611" spans="1:13" ht="27.75" customHeight="1" x14ac:dyDescent="0.25">
      <c r="D1611" s="105">
        <v>44992</v>
      </c>
    </row>
    <row r="1612" spans="1:13" ht="27.75" customHeight="1" x14ac:dyDescent="0.25">
      <c r="D1612" s="102">
        <v>45000</v>
      </c>
    </row>
    <row r="1613" spans="1:13" ht="27.75" customHeight="1" x14ac:dyDescent="0.25">
      <c r="D1613" s="105">
        <v>45012</v>
      </c>
    </row>
    <row r="1614" spans="1:13" ht="27.75" customHeight="1" x14ac:dyDescent="0.25">
      <c r="D1614" s="102">
        <v>45077</v>
      </c>
    </row>
    <row r="1615" spans="1:13" ht="27.75" customHeight="1" x14ac:dyDescent="0.25">
      <c r="D1615" s="105">
        <v>45084</v>
      </c>
    </row>
    <row r="1616" spans="1:13" ht="27.75" customHeight="1" x14ac:dyDescent="0.25">
      <c r="D1616" s="102">
        <v>45106</v>
      </c>
    </row>
    <row r="1617" spans="1:13" ht="27.75" customHeight="1" x14ac:dyDescent="0.25">
      <c r="D1617" s="105">
        <v>45196</v>
      </c>
    </row>
    <row r="1618" spans="1:13" ht="27.75" customHeight="1" x14ac:dyDescent="0.25">
      <c r="D1618" s="102">
        <v>45196</v>
      </c>
    </row>
    <row r="1619" spans="1:13" ht="27.75" customHeight="1" x14ac:dyDescent="0.25">
      <c r="D1619" s="105">
        <v>45212</v>
      </c>
    </row>
    <row r="1620" spans="1:13" ht="27.75" customHeight="1" x14ac:dyDescent="0.25">
      <c r="D1620" s="102">
        <v>45258</v>
      </c>
    </row>
    <row r="1621" spans="1:13" ht="27.75" customHeight="1" x14ac:dyDescent="0.25">
      <c r="D1621" s="105">
        <v>45334</v>
      </c>
    </row>
    <row r="1622" spans="1:13" ht="27.75" customHeight="1" x14ac:dyDescent="0.25">
      <c r="D1622" s="102">
        <v>45349</v>
      </c>
    </row>
    <row r="1623" spans="1:13" ht="27.75" customHeight="1" x14ac:dyDescent="0.25">
      <c r="D1623" s="105">
        <v>45349</v>
      </c>
    </row>
    <row r="1624" spans="1:13" ht="27.75" customHeight="1" x14ac:dyDescent="0.25">
      <c r="D1624" s="102">
        <v>45349</v>
      </c>
    </row>
    <row r="1625" spans="1:13" ht="27.75" customHeight="1" x14ac:dyDescent="0.25">
      <c r="D1625" s="105">
        <v>45349</v>
      </c>
    </row>
    <row r="1626" spans="1:13" ht="27.75" customHeight="1" x14ac:dyDescent="0.25">
      <c r="D1626" s="102">
        <v>45349</v>
      </c>
    </row>
    <row r="1627" spans="1:13" ht="27.75" customHeight="1" x14ac:dyDescent="0.25">
      <c r="D1627" s="105">
        <v>45726</v>
      </c>
    </row>
    <row r="1628" spans="1:13" ht="27.75" customHeight="1" x14ac:dyDescent="0.25">
      <c r="D1628" s="102">
        <v>45743</v>
      </c>
    </row>
    <row r="1629" spans="1:13" ht="27.75" customHeight="1" x14ac:dyDescent="0.25">
      <c r="D1629" s="105">
        <v>45743</v>
      </c>
    </row>
    <row r="1630" spans="1:13" ht="27.75" customHeight="1" x14ac:dyDescent="0.25">
      <c r="D1630" s="102">
        <v>45758</v>
      </c>
    </row>
    <row r="1631" spans="1:13" ht="27.75" customHeight="1" x14ac:dyDescent="0.25">
      <c r="D1631" s="105">
        <v>45847</v>
      </c>
    </row>
    <row r="1632" spans="1:13" ht="27.75" customHeight="1" x14ac:dyDescent="0.25">
      <c r="D1632" s="102">
        <v>45847</v>
      </c>
    </row>
    <row r="1633" spans="1:13" ht="27.75" customHeight="1" x14ac:dyDescent="0.25">
      <c r="D1633" s="105">
        <v>45847</v>
      </c>
    </row>
    <row r="1634" spans="1:13" ht="27.75" customHeight="1" x14ac:dyDescent="0.25">
      <c r="D1634" s="102">
        <v>45887</v>
      </c>
    </row>
    <row r="1635" spans="1:13" ht="27.75" customHeight="1" x14ac:dyDescent="0.25">
      <c r="D1635" s="105">
        <v>45919</v>
      </c>
    </row>
    <row r="1636" spans="1:13" ht="27.75" customHeight="1" x14ac:dyDescent="0.25">
      <c r="D1636" s="102">
        <v>45947</v>
      </c>
    </row>
    <row r="1637" spans="1:13" ht="27.75" customHeight="1" x14ac:dyDescent="0.25">
      <c r="D1637" s="105">
        <v>45947</v>
      </c>
    </row>
    <row r="1638" spans="1:13" ht="27.75" customHeight="1" x14ac:dyDescent="0.25">
      <c r="D1638" s="102">
        <v>45947</v>
      </c>
    </row>
    <row r="1639" spans="1:13" ht="27.75" customHeight="1" x14ac:dyDescent="0.25">
      <c r="D1639" s="105">
        <v>45996</v>
      </c>
    </row>
    <row r="1640" spans="1:13" ht="27.75" customHeight="1" x14ac:dyDescent="0.25">
      <c r="D1640" s="102">
        <v>45996</v>
      </c>
    </row>
    <row r="1641" spans="1:13" ht="27.75" customHeight="1" x14ac:dyDescent="0.25">
      <c r="D1641" s="105">
        <v>45999</v>
      </c>
    </row>
    <row r="1642" spans="1:13" ht="27.75" customHeight="1" x14ac:dyDescent="0.25">
      <c r="D1642" s="102">
        <v>46002</v>
      </c>
    </row>
    <row r="1643" spans="1:13" ht="27.75" customHeight="1" x14ac:dyDescent="0.25">
      <c r="D1643" s="105">
        <v>46024</v>
      </c>
    </row>
    <row r="1644" spans="1:13" ht="27.75" customHeight="1" x14ac:dyDescent="0.25">
      <c r="D1644" s="102">
        <v>46024</v>
      </c>
    </row>
    <row r="1645" spans="1:13" ht="27.75" customHeight="1" x14ac:dyDescent="0.25">
      <c r="D1645" s="105">
        <v>46024</v>
      </c>
    </row>
    <row r="1646" spans="1:13" ht="27.75" customHeight="1" x14ac:dyDescent="0.25">
      <c r="D1646" s="102">
        <v>46024</v>
      </c>
    </row>
    <row r="1647" spans="1:13" ht="27.75" customHeight="1" x14ac:dyDescent="0.25">
      <c r="D1647" s="105">
        <v>46092</v>
      </c>
    </row>
    <row r="1648" spans="1:13" ht="27.75" customHeight="1" x14ac:dyDescent="0.25">
      <c r="D1648" s="102">
        <v>46121</v>
      </c>
    </row>
    <row r="1649" spans="1:13" ht="27.75" customHeight="1" x14ac:dyDescent="0.25">
      <c r="D1649" s="105">
        <v>46128</v>
      </c>
    </row>
    <row r="1650" spans="1:13" ht="27.75" customHeight="1" x14ac:dyDescent="0.25">
      <c r="D1650" s="102">
        <v>46150</v>
      </c>
    </row>
    <row r="1651" spans="1:13" ht="27.75" customHeight="1" x14ac:dyDescent="0.25">
      <c r="D1651" s="105">
        <v>46178</v>
      </c>
    </row>
    <row r="1652" spans="1:13" ht="27.75" customHeight="1" x14ac:dyDescent="0.25">
      <c r="D1652" s="102">
        <v>44347</v>
      </c>
    </row>
    <row r="1653" spans="1:13" ht="27.75" customHeight="1" x14ac:dyDescent="0.25">
      <c r="D1653" s="105">
        <v>45146</v>
      </c>
    </row>
    <row r="1654" spans="1:13" ht="27.75" customHeight="1" x14ac:dyDescent="0.25">
      <c r="D1654" s="102">
        <v>44012</v>
      </c>
    </row>
    <row r="1655" spans="1:13" ht="27.75" customHeight="1" x14ac:dyDescent="0.25">
      <c r="D1655" s="105">
        <v>44322</v>
      </c>
    </row>
    <row r="1656" spans="1:13" ht="27.75" customHeight="1" x14ac:dyDescent="0.25">
      <c r="D1656" s="102">
        <v>44533</v>
      </c>
    </row>
    <row r="1657" spans="1:13" ht="27.75" customHeight="1" x14ac:dyDescent="0.25">
      <c r="D1657" s="105">
        <v>44600</v>
      </c>
    </row>
    <row r="1658" spans="1:13" ht="27.75" customHeight="1" x14ac:dyDescent="0.25">
      <c r="D1658" s="102">
        <v>44600</v>
      </c>
    </row>
    <row r="1659" spans="1:13" ht="27.75" customHeight="1" x14ac:dyDescent="0.25">
      <c r="D1659" s="105">
        <v>44600</v>
      </c>
    </row>
    <row r="1660" spans="1:13" ht="27.75" customHeight="1" x14ac:dyDescent="0.25">
      <c r="D1660" s="102">
        <v>44600</v>
      </c>
    </row>
    <row r="1661" spans="1:13" ht="27.75" customHeight="1" x14ac:dyDescent="0.25">
      <c r="D1661" s="105">
        <v>44600</v>
      </c>
    </row>
    <row r="1662" spans="1:13" ht="27.75" customHeight="1" x14ac:dyDescent="0.25">
      <c r="D1662" s="102">
        <v>44600</v>
      </c>
    </row>
    <row r="1663" spans="1:13" ht="27.75" customHeight="1" x14ac:dyDescent="0.25">
      <c r="D1663" s="105">
        <v>44610</v>
      </c>
    </row>
    <row r="1664" spans="1:13" ht="27.75" customHeight="1" x14ac:dyDescent="0.25">
      <c r="D1664" s="102">
        <v>44622</v>
      </c>
    </row>
    <row r="1665" spans="1:13" ht="27.75" customHeight="1" x14ac:dyDescent="0.25">
      <c r="D1665" s="105">
        <v>44942</v>
      </c>
    </row>
    <row r="1666" spans="1:13" ht="27.75" customHeight="1" x14ac:dyDescent="0.25">
      <c r="D1666" s="102">
        <v>44992</v>
      </c>
    </row>
    <row r="1667" spans="1:13" ht="27.75" customHeight="1" x14ac:dyDescent="0.25">
      <c r="D1667" s="105">
        <v>44992</v>
      </c>
    </row>
    <row r="1668" spans="1:13" ht="27.75" customHeight="1" x14ac:dyDescent="0.25">
      <c r="D1668" s="102">
        <v>44992</v>
      </c>
    </row>
    <row r="1669" spans="1:13" ht="27.75" customHeight="1" x14ac:dyDescent="0.25">
      <c r="D1669" s="105">
        <v>45089</v>
      </c>
    </row>
    <row r="1670" spans="1:13" ht="27.75" customHeight="1" x14ac:dyDescent="0.25">
      <c r="D1670" s="102">
        <v>45089</v>
      </c>
    </row>
    <row r="1671" spans="1:13" ht="27.75" customHeight="1" x14ac:dyDescent="0.25">
      <c r="D1671" s="105">
        <v>45089</v>
      </c>
    </row>
    <row r="1672" spans="1:13" ht="27.75" customHeight="1" x14ac:dyDescent="0.25">
      <c r="D1672" s="102">
        <v>45180</v>
      </c>
    </row>
    <row r="1673" spans="1:13" ht="27.75" customHeight="1" x14ac:dyDescent="0.25">
      <c r="D1673" s="105">
        <v>45184</v>
      </c>
    </row>
    <row r="1674" spans="1:13" ht="27.75" customHeight="1" x14ac:dyDescent="0.25">
      <c r="D1674" s="102">
        <v>45191</v>
      </c>
    </row>
    <row r="1675" spans="1:13" ht="27.75" customHeight="1" x14ac:dyDescent="0.25">
      <c r="D1675" s="105">
        <v>45252</v>
      </c>
    </row>
    <row r="1676" spans="1:13" ht="27.75" customHeight="1" x14ac:dyDescent="0.25">
      <c r="D1676" s="102">
        <v>46147</v>
      </c>
    </row>
    <row r="1677" spans="1:13" ht="27.75" customHeight="1" x14ac:dyDescent="0.25">
      <c r="D1677" s="105">
        <v>46148</v>
      </c>
    </row>
    <row r="1678" spans="1:13" ht="27.75" customHeight="1" x14ac:dyDescent="0.25">
      <c r="D1678" s="102">
        <v>46225</v>
      </c>
    </row>
    <row r="1679" spans="1:13" ht="27.75" customHeight="1" x14ac:dyDescent="0.25">
      <c r="D1679" s="105">
        <v>44813</v>
      </c>
    </row>
    <row r="1680" spans="1:13" ht="27.75" customHeight="1" x14ac:dyDescent="0.25">
      <c r="D1680" s="102">
        <v>43839</v>
      </c>
    </row>
    <row r="1681" spans="1:13" ht="27.75" customHeight="1" x14ac:dyDescent="0.25">
      <c r="D1681" s="105">
        <v>43839</v>
      </c>
    </row>
    <row r="1682" spans="1:13" ht="27.75" customHeight="1" x14ac:dyDescent="0.25">
      <c r="D1682" s="102">
        <v>43997</v>
      </c>
    </row>
    <row r="1683" spans="1:13" ht="27.75" customHeight="1" x14ac:dyDescent="0.25">
      <c r="D1683" s="105">
        <v>44001</v>
      </c>
    </row>
    <row r="1684" spans="1:13" ht="27.75" customHeight="1" x14ac:dyDescent="0.25">
      <c r="D1684" s="102">
        <v>44018</v>
      </c>
    </row>
    <row r="1685" spans="1:13" ht="27.75" customHeight="1" x14ac:dyDescent="0.25">
      <c r="D1685" s="105">
        <v>44029</v>
      </c>
    </row>
    <row r="1686" spans="1:13" ht="27.75" customHeight="1" x14ac:dyDescent="0.25">
      <c r="D1686" s="102">
        <v>44162</v>
      </c>
    </row>
    <row r="1687" spans="1:13" ht="27.75" customHeight="1" x14ac:dyDescent="0.25">
      <c r="D1687" s="105">
        <v>44196</v>
      </c>
    </row>
    <row r="1688" spans="1:13" ht="27.75" customHeight="1" x14ac:dyDescent="0.25">
      <c r="D1688" s="102">
        <v>44217</v>
      </c>
    </row>
    <row r="1689" spans="1:13" ht="27.75" customHeight="1" x14ac:dyDescent="0.25">
      <c r="D1689" s="105">
        <v>44272</v>
      </c>
    </row>
    <row r="1690" spans="1:13" ht="27.75" customHeight="1" x14ac:dyDescent="0.25">
      <c r="D1690" s="102">
        <v>44281</v>
      </c>
    </row>
    <row r="1691" spans="1:13" ht="27.75" customHeight="1" x14ac:dyDescent="0.25">
      <c r="D1691" s="105">
        <v>44285</v>
      </c>
    </row>
    <row r="1692" spans="1:13" ht="27.75" customHeight="1" x14ac:dyDescent="0.25">
      <c r="D1692" s="102">
        <v>44285</v>
      </c>
    </row>
    <row r="1693" spans="1:13" ht="27.75" customHeight="1" x14ac:dyDescent="0.25">
      <c r="D1693" s="105">
        <v>44295</v>
      </c>
    </row>
    <row r="1694" spans="1:13" ht="27.75" customHeight="1" x14ac:dyDescent="0.25">
      <c r="D1694" s="102">
        <v>44301</v>
      </c>
    </row>
    <row r="1695" spans="1:13" ht="27.75" customHeight="1" x14ac:dyDescent="0.25">
      <c r="D1695" s="105">
        <v>44306</v>
      </c>
    </row>
    <row r="1696" spans="1:13" ht="27.75" customHeight="1" x14ac:dyDescent="0.25">
      <c r="D1696" s="102">
        <v>44418</v>
      </c>
    </row>
    <row r="1697" spans="1:13" ht="27.75" customHeight="1" x14ac:dyDescent="0.25">
      <c r="D1697" s="105">
        <v>44418</v>
      </c>
    </row>
    <row r="1698" spans="1:13" ht="27.75" customHeight="1" x14ac:dyDescent="0.25">
      <c r="D1698" s="102">
        <v>44441</v>
      </c>
    </row>
    <row r="1699" spans="1:13" ht="27.75" customHeight="1" x14ac:dyDescent="0.25">
      <c r="D1699" s="105">
        <v>44441</v>
      </c>
    </row>
    <row r="1700" spans="1:13" ht="27.75" customHeight="1" x14ac:dyDescent="0.25">
      <c r="D1700" s="102">
        <v>44613</v>
      </c>
    </row>
    <row r="1701" spans="1:13" ht="27.75" customHeight="1" x14ac:dyDescent="0.25">
      <c r="D1701" s="105">
        <v>44683</v>
      </c>
    </row>
    <row r="1702" spans="1:13" ht="27.75" customHeight="1" x14ac:dyDescent="0.25">
      <c r="D1702" s="102">
        <v>44683</v>
      </c>
    </row>
    <row r="1703" spans="1:13" ht="27.75" customHeight="1" x14ac:dyDescent="0.25">
      <c r="D1703" s="105">
        <v>44690</v>
      </c>
    </row>
    <row r="1704" spans="1:13" ht="27.75" customHeight="1" x14ac:dyDescent="0.25">
      <c r="D1704" s="102">
        <v>44795</v>
      </c>
    </row>
    <row r="1705" spans="1:13" ht="27.75" customHeight="1" x14ac:dyDescent="0.25">
      <c r="D1705" s="105">
        <v>44827</v>
      </c>
    </row>
    <row r="1706" spans="1:13" ht="27.75" customHeight="1" x14ac:dyDescent="0.25">
      <c r="D1706" s="102">
        <v>44926</v>
      </c>
    </row>
    <row r="1707" spans="1:13" ht="27.75" customHeight="1" x14ac:dyDescent="0.25">
      <c r="D1707" s="105">
        <v>44952</v>
      </c>
    </row>
    <row r="1708" spans="1:13" ht="27.75" customHeight="1" x14ac:dyDescent="0.25">
      <c r="D1708" s="102">
        <v>44985</v>
      </c>
    </row>
    <row r="1709" spans="1:13" ht="27.75" customHeight="1" x14ac:dyDescent="0.25">
      <c r="D1709" s="105">
        <v>45022</v>
      </c>
    </row>
    <row r="1710" spans="1:13" ht="27.75" customHeight="1" x14ac:dyDescent="0.25">
      <c r="D1710" s="102">
        <v>45077</v>
      </c>
    </row>
    <row r="1711" spans="1:13" ht="27.75" customHeight="1" x14ac:dyDescent="0.25">
      <c r="D1711" s="105">
        <v>45090</v>
      </c>
    </row>
    <row r="1712" spans="1:13" ht="27.75" customHeight="1" x14ac:dyDescent="0.25">
      <c r="D1712" s="102">
        <v>45090</v>
      </c>
    </row>
    <row r="1713" spans="1:13" ht="27.75" customHeight="1" x14ac:dyDescent="0.25">
      <c r="D1713" s="105">
        <v>45090</v>
      </c>
    </row>
    <row r="1714" spans="1:13" ht="27.75" customHeight="1" x14ac:dyDescent="0.25">
      <c r="D1714" s="102">
        <v>45131</v>
      </c>
    </row>
    <row r="1715" spans="1:13" ht="27.75" customHeight="1" x14ac:dyDescent="0.25">
      <c r="D1715" s="105">
        <v>45145</v>
      </c>
    </row>
    <row r="1716" spans="1:13" ht="27.75" customHeight="1" x14ac:dyDescent="0.25">
      <c r="D1716" s="102">
        <v>45168</v>
      </c>
    </row>
    <row r="1717" spans="1:13" ht="27.75" customHeight="1" x14ac:dyDescent="0.25">
      <c r="D1717" s="105">
        <v>45203</v>
      </c>
    </row>
    <row r="1718" spans="1:13" ht="27.75" customHeight="1" x14ac:dyDescent="0.25">
      <c r="D1718" s="102">
        <v>45266</v>
      </c>
    </row>
    <row r="1719" spans="1:13" ht="27.75" customHeight="1" x14ac:dyDescent="0.25">
      <c r="D1719" s="105">
        <v>45288</v>
      </c>
    </row>
    <row r="1720" spans="1:13" ht="27.75" customHeight="1" x14ac:dyDescent="0.25">
      <c r="D1720" s="102">
        <v>45329</v>
      </c>
    </row>
    <row r="1721" spans="1:13" ht="27.75" customHeight="1" x14ac:dyDescent="0.25">
      <c r="D1721" s="105">
        <v>45342</v>
      </c>
    </row>
    <row r="1722" spans="1:13" ht="27.75" customHeight="1" x14ac:dyDescent="0.25">
      <c r="D1722" s="102">
        <v>45369</v>
      </c>
    </row>
    <row r="1723" spans="1:13" ht="27.75" customHeight="1" x14ac:dyDescent="0.25">
      <c r="D1723" s="105">
        <v>45369</v>
      </c>
    </row>
    <row r="1724" spans="1:13" ht="27.75" customHeight="1" x14ac:dyDescent="0.25">
      <c r="D1724" s="102">
        <v>45369</v>
      </c>
    </row>
    <row r="1725" spans="1:13" ht="27.75" customHeight="1" x14ac:dyDescent="0.25">
      <c r="D1725" s="105">
        <v>45373</v>
      </c>
    </row>
    <row r="1726" spans="1:13" ht="27.75" customHeight="1" x14ac:dyDescent="0.25">
      <c r="D1726" s="102">
        <v>45406</v>
      </c>
    </row>
    <row r="1727" spans="1:13" ht="27.75" customHeight="1" x14ac:dyDescent="0.25">
      <c r="D1727" s="105">
        <v>45481</v>
      </c>
    </row>
    <row r="1728" spans="1:13" ht="27.75" customHeight="1" x14ac:dyDescent="0.25">
      <c r="D1728" s="102">
        <v>45491</v>
      </c>
    </row>
    <row r="1729" spans="1:13" ht="27.75" customHeight="1" x14ac:dyDescent="0.25">
      <c r="D1729" s="105">
        <v>45653</v>
      </c>
    </row>
    <row r="1730" spans="1:13" ht="27.75" customHeight="1" x14ac:dyDescent="0.25">
      <c r="D1730" s="102">
        <v>45694</v>
      </c>
    </row>
    <row r="1731" spans="1:13" ht="27.75" customHeight="1" x14ac:dyDescent="0.25">
      <c r="D1731" s="105">
        <v>45694</v>
      </c>
    </row>
    <row r="1732" spans="1:13" ht="27.75" customHeight="1" x14ac:dyDescent="0.25">
      <c r="D1732" s="102">
        <v>45694</v>
      </c>
    </row>
    <row r="1733" spans="1:13" ht="27.75" customHeight="1" x14ac:dyDescent="0.25">
      <c r="D1733" s="105">
        <v>45694</v>
      </c>
    </row>
    <row r="1734" spans="1:13" ht="27.75" customHeight="1" x14ac:dyDescent="0.25">
      <c r="D1734" s="102">
        <v>45694</v>
      </c>
    </row>
    <row r="1735" spans="1:13" ht="27.75" customHeight="1" x14ac:dyDescent="0.25">
      <c r="D1735" s="105">
        <v>45723</v>
      </c>
    </row>
    <row r="1736" spans="1:13" ht="27.75" customHeight="1" x14ac:dyDescent="0.25">
      <c r="D1736" s="102">
        <v>45744</v>
      </c>
    </row>
    <row r="1737" spans="1:13" ht="27.75" customHeight="1" x14ac:dyDescent="0.25">
      <c r="D1737" s="105">
        <v>45789</v>
      </c>
    </row>
    <row r="1738" spans="1:13" ht="27.75" customHeight="1" x14ac:dyDescent="0.25">
      <c r="D1738" s="102">
        <v>45846</v>
      </c>
    </row>
    <row r="1739" spans="1:13" ht="27.75" customHeight="1" x14ac:dyDescent="0.25">
      <c r="D1739" s="105">
        <v>45846</v>
      </c>
    </row>
    <row r="1740" spans="1:13" ht="27.75" customHeight="1" x14ac:dyDescent="0.25">
      <c r="D1740" s="102">
        <v>45846</v>
      </c>
    </row>
    <row r="1741" spans="1:13" ht="27.75" customHeight="1" x14ac:dyDescent="0.25">
      <c r="D1741" s="105">
        <v>45847</v>
      </c>
    </row>
    <row r="1742" spans="1:13" ht="27.75" customHeight="1" x14ac:dyDescent="0.25">
      <c r="D1742" s="102">
        <v>45954</v>
      </c>
    </row>
    <row r="1743" spans="1:13" ht="27.75" customHeight="1" x14ac:dyDescent="0.25">
      <c r="D1743" s="105">
        <v>46045</v>
      </c>
    </row>
    <row r="1744" spans="1:13" ht="27.75" customHeight="1" x14ac:dyDescent="0.25">
      <c r="D1744" s="102">
        <v>46093</v>
      </c>
    </row>
    <row r="1745" spans="1:13" ht="27.75" customHeight="1" x14ac:dyDescent="0.25">
      <c r="D1745" s="105">
        <v>46112</v>
      </c>
    </row>
    <row r="1746" spans="1:13" ht="27.75" customHeight="1" x14ac:dyDescent="0.25">
      <c r="D1746" s="102">
        <v>46230</v>
      </c>
    </row>
    <row r="1747" spans="1:13" ht="27.75" customHeight="1" x14ac:dyDescent="0.25">
      <c r="D1747" s="105">
        <v>43620</v>
      </c>
    </row>
    <row r="1748" spans="1:13" ht="27.75" customHeight="1" x14ac:dyDescent="0.25">
      <c r="D1748" s="102">
        <v>43718</v>
      </c>
    </row>
    <row r="1749" spans="1:13" ht="27.75" customHeight="1" x14ac:dyDescent="0.25">
      <c r="D1749" s="105">
        <v>43741</v>
      </c>
    </row>
    <row r="1750" spans="1:13" ht="27.75" customHeight="1" x14ac:dyDescent="0.25">
      <c r="D1750" s="102">
        <v>43798</v>
      </c>
    </row>
    <row r="1751" spans="1:13" ht="27.75" customHeight="1" x14ac:dyDescent="0.25">
      <c r="D1751" s="105">
        <v>43825</v>
      </c>
    </row>
    <row r="1752" spans="1:13" ht="27.75" customHeight="1" x14ac:dyDescent="0.25">
      <c r="D1752" s="102">
        <v>43846</v>
      </c>
    </row>
    <row r="1753" spans="1:13" ht="27.75" customHeight="1" x14ac:dyDescent="0.25">
      <c r="D1753" s="105">
        <v>43875</v>
      </c>
    </row>
    <row r="1754" spans="1:13" ht="27.75" customHeight="1" x14ac:dyDescent="0.25">
      <c r="D1754" s="102">
        <v>43893</v>
      </c>
    </row>
    <row r="1755" spans="1:13" ht="27.75" customHeight="1" x14ac:dyDescent="0.25">
      <c r="D1755" s="105">
        <v>43973</v>
      </c>
    </row>
    <row r="1756" spans="1:13" ht="27.75" customHeight="1" x14ac:dyDescent="0.25">
      <c r="D1756" s="102">
        <v>43990</v>
      </c>
    </row>
    <row r="1757" spans="1:13" ht="27.75" customHeight="1" x14ac:dyDescent="0.25">
      <c r="D1757" s="105">
        <v>44085</v>
      </c>
    </row>
    <row r="1758" spans="1:13" ht="27.75" customHeight="1" x14ac:dyDescent="0.25">
      <c r="D1758" s="102">
        <v>44137</v>
      </c>
    </row>
    <row r="1759" spans="1:13" ht="27.75" customHeight="1" x14ac:dyDescent="0.25">
      <c r="D1759" s="105">
        <v>44161</v>
      </c>
    </row>
    <row r="1760" spans="1:13" ht="27.75" customHeight="1" x14ac:dyDescent="0.25">
      <c r="D1760" s="102">
        <v>44210</v>
      </c>
    </row>
    <row r="1761" spans="1:13" ht="27.75" customHeight="1" x14ac:dyDescent="0.25">
      <c r="D1761" s="105">
        <v>44211</v>
      </c>
    </row>
    <row r="1762" spans="1:13" ht="27.75" customHeight="1" x14ac:dyDescent="0.25">
      <c r="D1762" s="102">
        <v>44294</v>
      </c>
    </row>
    <row r="1763" spans="1:13" ht="27.75" customHeight="1" x14ac:dyDescent="0.25">
      <c r="D1763" s="105">
        <v>44294</v>
      </c>
    </row>
    <row r="1764" spans="1:13" ht="27.75" customHeight="1" x14ac:dyDescent="0.25">
      <c r="D1764" s="102">
        <v>44294</v>
      </c>
    </row>
    <row r="1765" spans="1:13" ht="27.75" customHeight="1" x14ac:dyDescent="0.25">
      <c r="D1765" s="105">
        <v>44343</v>
      </c>
    </row>
    <row r="1766" spans="1:13" ht="27.75" customHeight="1" x14ac:dyDescent="0.25">
      <c r="D1766" s="102">
        <v>44398</v>
      </c>
    </row>
    <row r="1767" spans="1:13" ht="27.75" customHeight="1" x14ac:dyDescent="0.25">
      <c r="D1767" s="105">
        <v>44532</v>
      </c>
    </row>
    <row r="1768" spans="1:13" ht="27.75" customHeight="1" x14ac:dyDescent="0.25">
      <c r="D1768" s="102">
        <v>44613</v>
      </c>
    </row>
    <row r="1769" spans="1:13" ht="27.75" customHeight="1" x14ac:dyDescent="0.25">
      <c r="D1769" s="105">
        <v>44631</v>
      </c>
    </row>
    <row r="1770" spans="1:13" ht="27.75" customHeight="1" x14ac:dyDescent="0.25">
      <c r="D1770" s="102">
        <v>44771</v>
      </c>
    </row>
    <row r="1771" spans="1:13" ht="27.75" customHeight="1" x14ac:dyDescent="0.25">
      <c r="D1771" s="105">
        <v>44860</v>
      </c>
    </row>
    <row r="1772" spans="1:13" ht="27.75" customHeight="1" x14ac:dyDescent="0.25">
      <c r="D1772" s="102">
        <v>44860</v>
      </c>
    </row>
    <row r="1773" spans="1:13" ht="27.75" customHeight="1" x14ac:dyDescent="0.25">
      <c r="D1773" s="105">
        <v>44872</v>
      </c>
    </row>
    <row r="1774" spans="1:13" ht="27.75" customHeight="1" x14ac:dyDescent="0.25">
      <c r="D1774" s="102">
        <v>44895</v>
      </c>
    </row>
    <row r="1775" spans="1:13" ht="27.75" customHeight="1" x14ac:dyDescent="0.25">
      <c r="D1775" s="105">
        <v>44914</v>
      </c>
    </row>
    <row r="1776" spans="1:13" ht="27.75" customHeight="1" x14ac:dyDescent="0.25">
      <c r="D1776" s="102">
        <v>44943</v>
      </c>
    </row>
    <row r="1777" spans="1:13" ht="27.75" customHeight="1" x14ac:dyDescent="0.25">
      <c r="D1777" s="105">
        <v>44952</v>
      </c>
    </row>
    <row r="1778" spans="1:13" ht="27.75" customHeight="1" x14ac:dyDescent="0.25">
      <c r="D1778" s="102">
        <v>44952</v>
      </c>
    </row>
    <row r="1779" spans="1:13" ht="27.75" customHeight="1" x14ac:dyDescent="0.25">
      <c r="D1779" s="105">
        <v>44985</v>
      </c>
    </row>
    <row r="1780" spans="1:13" ht="27.75" customHeight="1" x14ac:dyDescent="0.25">
      <c r="D1780" s="102">
        <v>45030</v>
      </c>
    </row>
    <row r="1781" spans="1:13" ht="27.75" customHeight="1" x14ac:dyDescent="0.25">
      <c r="D1781" s="105">
        <v>45148</v>
      </c>
    </row>
    <row r="1782" spans="1:13" ht="27.75" customHeight="1" x14ac:dyDescent="0.25">
      <c r="D1782" s="102">
        <v>45168</v>
      </c>
    </row>
    <row r="1783" spans="1:13" ht="27.75" customHeight="1" x14ac:dyDescent="0.25">
      <c r="D1783" s="105">
        <v>45196</v>
      </c>
    </row>
    <row r="1784" spans="1:13" ht="27.75" customHeight="1" x14ac:dyDescent="0.25">
      <c r="D1784" s="102">
        <v>45222</v>
      </c>
    </row>
    <row r="1785" spans="1:13" ht="27.75" customHeight="1" x14ac:dyDescent="0.25">
      <c r="D1785" s="105">
        <v>45289</v>
      </c>
    </row>
    <row r="1786" spans="1:13" ht="27.75" customHeight="1" x14ac:dyDescent="0.25">
      <c r="D1786" s="102">
        <v>45344</v>
      </c>
    </row>
    <row r="1787" spans="1:13" ht="27.75" customHeight="1" x14ac:dyDescent="0.25">
      <c r="D1787" s="105">
        <v>45364</v>
      </c>
    </row>
    <row r="1788" spans="1:13" ht="27.75" customHeight="1" x14ac:dyDescent="0.25">
      <c r="D1788" s="102">
        <v>45364</v>
      </c>
    </row>
    <row r="1789" spans="1:13" ht="27.75" customHeight="1" x14ac:dyDescent="0.25">
      <c r="D1789" s="105">
        <v>45364</v>
      </c>
    </row>
    <row r="1790" spans="1:13" ht="27.75" customHeight="1" x14ac:dyDescent="0.25">
      <c r="D1790" s="102">
        <v>45364</v>
      </c>
    </row>
    <row r="1791" spans="1:13" ht="27.75" customHeight="1" x14ac:dyDescent="0.25">
      <c r="D1791" s="105">
        <v>45484</v>
      </c>
    </row>
    <row r="1792" spans="1:13" ht="27.75" customHeight="1" x14ac:dyDescent="0.25">
      <c r="D1792" s="102">
        <v>45484</v>
      </c>
    </row>
    <row r="1793" spans="1:13" ht="27.75" customHeight="1" x14ac:dyDescent="0.25">
      <c r="D1793" s="105">
        <v>45484</v>
      </c>
    </row>
    <row r="1794" spans="1:13" ht="27.75" customHeight="1" x14ac:dyDescent="0.25">
      <c r="D1794" s="102">
        <v>45484</v>
      </c>
    </row>
    <row r="1795" spans="1:13" ht="27.75" customHeight="1" x14ac:dyDescent="0.25">
      <c r="D1795" s="105">
        <v>45601</v>
      </c>
    </row>
    <row r="1796" spans="1:13" ht="27.75" customHeight="1" x14ac:dyDescent="0.25">
      <c r="D1796" s="102">
        <v>45686</v>
      </c>
    </row>
    <row r="1797" spans="1:13" ht="27.75" customHeight="1" x14ac:dyDescent="0.25">
      <c r="D1797" s="105">
        <v>45686</v>
      </c>
    </row>
    <row r="1798" spans="1:13" ht="27.75" customHeight="1" x14ac:dyDescent="0.25">
      <c r="D1798" s="102">
        <v>45686</v>
      </c>
    </row>
    <row r="1799" spans="1:13" ht="27.75" customHeight="1" x14ac:dyDescent="0.25">
      <c r="D1799" s="105">
        <v>45686</v>
      </c>
    </row>
    <row r="1800" spans="1:13" ht="27.75" customHeight="1" x14ac:dyDescent="0.25">
      <c r="D1800" s="102">
        <v>45706</v>
      </c>
    </row>
    <row r="1801" spans="1:13" ht="27.75" customHeight="1" x14ac:dyDescent="0.25">
      <c r="D1801" s="105">
        <v>45706</v>
      </c>
    </row>
    <row r="1802" spans="1:13" ht="27.75" customHeight="1" x14ac:dyDescent="0.25">
      <c r="D1802" s="102">
        <v>45706</v>
      </c>
    </row>
    <row r="1803" spans="1:13" ht="27.75" customHeight="1" x14ac:dyDescent="0.25">
      <c r="D1803" s="105">
        <v>45744</v>
      </c>
    </row>
    <row r="1804" spans="1:13" ht="27.75" customHeight="1" x14ac:dyDescent="0.25">
      <c r="D1804" s="102">
        <v>45744</v>
      </c>
    </row>
    <row r="1805" spans="1:13" ht="27.75" customHeight="1" x14ac:dyDescent="0.25">
      <c r="D1805" s="105">
        <v>45919</v>
      </c>
    </row>
    <row r="1806" spans="1:13" ht="27.75" customHeight="1" x14ac:dyDescent="0.25">
      <c r="D1806" s="102">
        <v>46022</v>
      </c>
    </row>
    <row r="1807" spans="1:13" ht="27.75" customHeight="1" x14ac:dyDescent="0.25">
      <c r="D1807" s="105">
        <v>46059</v>
      </c>
    </row>
    <row r="1808" spans="1:13" ht="27.75" customHeight="1" x14ac:dyDescent="0.25">
      <c r="D1808" s="102">
        <v>46059</v>
      </c>
    </row>
    <row r="1809" spans="1:13" ht="27.75" customHeight="1" x14ac:dyDescent="0.25">
      <c r="D1809" s="105">
        <v>46097</v>
      </c>
    </row>
    <row r="1810" spans="1:13" ht="27.75" customHeight="1" x14ac:dyDescent="0.25">
      <c r="D1810" s="102">
        <v>46134</v>
      </c>
    </row>
    <row r="1811" spans="1:13" ht="27.75" customHeight="1" x14ac:dyDescent="0.25">
      <c r="D1811" s="105">
        <v>46134</v>
      </c>
    </row>
    <row r="1812" spans="1:13" ht="27.75" customHeight="1" x14ac:dyDescent="0.25">
      <c r="D1812" s="102">
        <v>46139</v>
      </c>
    </row>
    <row r="1813" spans="1:13" ht="27.75" customHeight="1" x14ac:dyDescent="0.25">
      <c r="D1813" s="105">
        <v>46169</v>
      </c>
    </row>
    <row r="1814" spans="1:13" ht="27.75" customHeight="1" x14ac:dyDescent="0.25">
      <c r="D1814" s="102">
        <v>46170</v>
      </c>
    </row>
    <row r="1815" spans="1:13" ht="27.75" customHeight="1" x14ac:dyDescent="0.25">
      <c r="D1815" s="105">
        <v>46181</v>
      </c>
    </row>
    <row r="1816" spans="1:13" ht="27.75" customHeight="1" x14ac:dyDescent="0.25">
      <c r="D1816" s="102">
        <v>46202</v>
      </c>
    </row>
    <row r="1817" spans="1:13" ht="27.75" customHeight="1" x14ac:dyDescent="0.25">
      <c r="D1817" s="105">
        <v>46230</v>
      </c>
    </row>
    <row r="1818" spans="1:13" ht="27.75" customHeight="1" x14ac:dyDescent="0.25">
      <c r="D1818" s="102">
        <v>46231</v>
      </c>
    </row>
    <row r="1819" spans="1:13" ht="27.75" customHeight="1" x14ac:dyDescent="0.25">
      <c r="D1819" s="105">
        <v>46231</v>
      </c>
    </row>
    <row r="1820" spans="1:13" ht="27.75" customHeight="1" x14ac:dyDescent="0.25">
      <c r="D1820" s="102">
        <v>43734</v>
      </c>
    </row>
    <row r="1821" spans="1:13" ht="27.75" customHeight="1" x14ac:dyDescent="0.25">
      <c r="D1821" s="105">
        <v>43973</v>
      </c>
    </row>
    <row r="1822" spans="1:13" ht="27.75" customHeight="1" x14ac:dyDescent="0.25">
      <c r="D1822" s="102">
        <v>43990</v>
      </c>
    </row>
    <row r="1823" spans="1:13" ht="27.75" customHeight="1" x14ac:dyDescent="0.25">
      <c r="D1823" s="105">
        <v>44040</v>
      </c>
    </row>
    <row r="1824" spans="1:13" ht="27.75" customHeight="1" x14ac:dyDescent="0.25">
      <c r="D1824" s="102">
        <v>44085</v>
      </c>
    </row>
    <row r="1825" spans="1:13" ht="27.75" customHeight="1" x14ac:dyDescent="0.25">
      <c r="D1825" s="105">
        <v>44088</v>
      </c>
    </row>
    <row r="1826" spans="1:13" ht="27.75" customHeight="1" x14ac:dyDescent="0.25">
      <c r="D1826" s="102">
        <v>44099</v>
      </c>
    </row>
    <row r="1827" spans="1:13" ht="27.75" customHeight="1" x14ac:dyDescent="0.25">
      <c r="D1827" s="105">
        <v>44134</v>
      </c>
    </row>
    <row r="1828" spans="1:13" ht="27.75" customHeight="1" x14ac:dyDescent="0.25">
      <c r="D1828" s="102">
        <v>44134</v>
      </c>
    </row>
    <row r="1829" spans="1:13" ht="27.75" customHeight="1" x14ac:dyDescent="0.25">
      <c r="D1829" s="105">
        <v>44196</v>
      </c>
    </row>
    <row r="1830" spans="1:13" ht="27.75" customHeight="1" x14ac:dyDescent="0.25">
      <c r="D1830" s="102">
        <v>44218</v>
      </c>
    </row>
    <row r="1831" spans="1:13" ht="27.75" customHeight="1" x14ac:dyDescent="0.25">
      <c r="D1831" s="105">
        <v>44218</v>
      </c>
    </row>
    <row r="1832" spans="1:13" ht="27.75" customHeight="1" x14ac:dyDescent="0.25">
      <c r="D1832" s="102">
        <v>44242</v>
      </c>
    </row>
    <row r="1833" spans="1:13" ht="27.75" customHeight="1" x14ac:dyDescent="0.25">
      <c r="D1833" s="105">
        <v>44383</v>
      </c>
    </row>
    <row r="1834" spans="1:13" ht="27.75" customHeight="1" x14ac:dyDescent="0.25">
      <c r="D1834" s="102">
        <v>44399</v>
      </c>
    </row>
    <row r="1835" spans="1:13" ht="27.75" customHeight="1" x14ac:dyDescent="0.25">
      <c r="D1835" s="105">
        <v>44400</v>
      </c>
    </row>
    <row r="1836" spans="1:13" ht="27.75" customHeight="1" x14ac:dyDescent="0.25">
      <c r="D1836" s="102">
        <v>44631</v>
      </c>
    </row>
    <row r="1837" spans="1:13" ht="27.75" customHeight="1" x14ac:dyDescent="0.25">
      <c r="D1837" s="105">
        <v>44631</v>
      </c>
    </row>
    <row r="1838" spans="1:13" ht="27.75" customHeight="1" x14ac:dyDescent="0.25">
      <c r="D1838" s="102">
        <v>44644</v>
      </c>
    </row>
    <row r="1839" spans="1:13" ht="27.75" customHeight="1" x14ac:dyDescent="0.25">
      <c r="D1839" s="105">
        <v>44676</v>
      </c>
    </row>
    <row r="1840" spans="1:13" ht="27.75" customHeight="1" x14ac:dyDescent="0.25">
      <c r="D1840" s="102">
        <v>44680</v>
      </c>
    </row>
    <row r="1841" spans="1:13" ht="27.75" customHeight="1" x14ac:dyDescent="0.25">
      <c r="D1841" s="105">
        <v>44683</v>
      </c>
    </row>
    <row r="1842" spans="1:13" ht="27.75" customHeight="1" x14ac:dyDescent="0.25">
      <c r="D1842" s="102">
        <v>44694</v>
      </c>
    </row>
    <row r="1843" spans="1:13" ht="27.75" customHeight="1" x14ac:dyDescent="0.25">
      <c r="D1843" s="105">
        <v>44694</v>
      </c>
    </row>
    <row r="1844" spans="1:13" ht="27.75" customHeight="1" x14ac:dyDescent="0.25">
      <c r="D1844" s="102">
        <v>44697</v>
      </c>
    </row>
    <row r="1845" spans="1:13" ht="27.75" customHeight="1" x14ac:dyDescent="0.25">
      <c r="D1845" s="105">
        <v>44699</v>
      </c>
    </row>
    <row r="1846" spans="1:13" ht="27.75" customHeight="1" x14ac:dyDescent="0.25">
      <c r="D1846" s="102">
        <v>44922</v>
      </c>
    </row>
    <row r="1847" spans="1:13" ht="27.75" customHeight="1" x14ac:dyDescent="0.25">
      <c r="D1847" s="105">
        <v>45013</v>
      </c>
    </row>
    <row r="1848" spans="1:13" ht="27.75" customHeight="1" x14ac:dyDescent="0.25">
      <c r="D1848" s="102">
        <v>45013</v>
      </c>
    </row>
    <row r="1849" spans="1:13" ht="27.75" customHeight="1" x14ac:dyDescent="0.25">
      <c r="D1849" s="105">
        <v>45050</v>
      </c>
    </row>
    <row r="1850" spans="1:13" ht="27.75" customHeight="1" x14ac:dyDescent="0.25">
      <c r="D1850" s="102">
        <v>45089</v>
      </c>
    </row>
    <row r="1851" spans="1:13" ht="27.75" customHeight="1" x14ac:dyDescent="0.25">
      <c r="D1851" s="105">
        <v>45106</v>
      </c>
    </row>
    <row r="1852" spans="1:13" ht="27.75" customHeight="1" x14ac:dyDescent="0.25">
      <c r="D1852" s="102">
        <v>45131</v>
      </c>
    </row>
    <row r="1853" spans="1:13" ht="27.75" customHeight="1" x14ac:dyDescent="0.25">
      <c r="D1853" s="105">
        <v>45131</v>
      </c>
    </row>
    <row r="1854" spans="1:13" ht="27.75" customHeight="1" x14ac:dyDescent="0.25">
      <c r="D1854" s="102">
        <v>45145</v>
      </c>
    </row>
    <row r="1855" spans="1:13" ht="27.75" customHeight="1" x14ac:dyDescent="0.25">
      <c r="D1855" s="105">
        <v>45168</v>
      </c>
    </row>
    <row r="1856" spans="1:13" ht="27.75" customHeight="1" x14ac:dyDescent="0.25">
      <c r="D1856" s="102">
        <v>45180</v>
      </c>
    </row>
    <row r="1857" spans="1:13" ht="27.75" customHeight="1" x14ac:dyDescent="0.25">
      <c r="D1857" s="105">
        <v>45184</v>
      </c>
    </row>
    <row r="1858" spans="1:13" ht="27.75" customHeight="1" x14ac:dyDescent="0.25">
      <c r="D1858" s="102">
        <v>45209</v>
      </c>
    </row>
    <row r="1859" spans="1:13" ht="27.75" customHeight="1" x14ac:dyDescent="0.25">
      <c r="D1859" s="105">
        <v>45230</v>
      </c>
    </row>
    <row r="1860" spans="1:13" ht="27.75" customHeight="1" x14ac:dyDescent="0.25">
      <c r="D1860" s="102">
        <v>45230</v>
      </c>
    </row>
    <row r="1861" spans="1:13" ht="27.75" customHeight="1" x14ac:dyDescent="0.25">
      <c r="D1861" s="105">
        <v>45334</v>
      </c>
    </row>
    <row r="1862" spans="1:13" ht="27.75" customHeight="1" x14ac:dyDescent="0.25">
      <c r="D1862" s="102">
        <v>45336</v>
      </c>
    </row>
    <row r="1863" spans="1:13" ht="27.75" customHeight="1" x14ac:dyDescent="0.25">
      <c r="D1863" s="105">
        <v>45358</v>
      </c>
    </row>
    <row r="1864" spans="1:13" ht="27.75" customHeight="1" x14ac:dyDescent="0.25">
      <c r="D1864" s="102">
        <v>45380</v>
      </c>
    </row>
    <row r="1865" spans="1:13" ht="27.75" customHeight="1" x14ac:dyDescent="0.25">
      <c r="D1865" s="105">
        <v>45380</v>
      </c>
    </row>
    <row r="1866" spans="1:13" ht="27.75" customHeight="1" x14ac:dyDescent="0.25">
      <c r="D1866" s="102">
        <v>45380</v>
      </c>
    </row>
    <row r="1867" spans="1:13" ht="27.75" customHeight="1" x14ac:dyDescent="0.25">
      <c r="D1867" s="105">
        <v>45380</v>
      </c>
    </row>
    <row r="1868" spans="1:13" ht="27.75" customHeight="1" x14ac:dyDescent="0.25">
      <c r="D1868" s="102">
        <v>45484</v>
      </c>
    </row>
    <row r="1869" spans="1:13" ht="27.75" customHeight="1" x14ac:dyDescent="0.25">
      <c r="D1869" s="105">
        <v>45511</v>
      </c>
    </row>
    <row r="1870" spans="1:13" ht="27.75" customHeight="1" x14ac:dyDescent="0.25">
      <c r="D1870" s="102">
        <v>45511</v>
      </c>
    </row>
    <row r="1871" spans="1:13" ht="27.75" customHeight="1" x14ac:dyDescent="0.25">
      <c r="D1871" s="105">
        <v>45615</v>
      </c>
    </row>
    <row r="1872" spans="1:13" ht="27.75" customHeight="1" x14ac:dyDescent="0.25">
      <c r="D1872" s="102">
        <v>45622</v>
      </c>
    </row>
    <row r="1873" spans="1:13" ht="27.75" customHeight="1" x14ac:dyDescent="0.25">
      <c r="D1873" s="105">
        <v>45744</v>
      </c>
    </row>
    <row r="1874" spans="1:13" ht="27.75" customHeight="1" x14ac:dyDescent="0.25">
      <c r="D1874" s="102">
        <v>45758</v>
      </c>
    </row>
    <row r="1875" spans="1:13" ht="27.75" customHeight="1" x14ac:dyDescent="0.25">
      <c r="D1875" s="105">
        <v>45776</v>
      </c>
    </row>
    <row r="1876" spans="1:13" ht="27.75" customHeight="1" x14ac:dyDescent="0.25">
      <c r="D1876" s="102">
        <v>45789</v>
      </c>
    </row>
    <row r="1877" spans="1:13" ht="27.75" customHeight="1" x14ac:dyDescent="0.25">
      <c r="D1877" s="105">
        <v>45789</v>
      </c>
    </row>
    <row r="1878" spans="1:13" ht="27.75" customHeight="1" x14ac:dyDescent="0.25">
      <c r="D1878" s="102">
        <v>45869</v>
      </c>
    </row>
    <row r="1879" spans="1:13" ht="27.75" customHeight="1" x14ac:dyDescent="0.25">
      <c r="D1879" s="105">
        <v>45937</v>
      </c>
    </row>
    <row r="1880" spans="1:13" ht="27.75" customHeight="1" x14ac:dyDescent="0.25">
      <c r="D1880" s="102">
        <v>45993</v>
      </c>
    </row>
    <row r="1881" spans="1:13" ht="27.75" customHeight="1" x14ac:dyDescent="0.25">
      <c r="D1881" s="105">
        <v>45996</v>
      </c>
    </row>
    <row r="1882" spans="1:13" ht="27.75" customHeight="1" x14ac:dyDescent="0.25">
      <c r="D1882" s="102">
        <v>46003</v>
      </c>
    </row>
    <row r="1883" spans="1:13" ht="27.75" customHeight="1" x14ac:dyDescent="0.25">
      <c r="D1883" s="105">
        <v>46071</v>
      </c>
    </row>
    <row r="1884" spans="1:13" ht="27.75" customHeight="1" x14ac:dyDescent="0.25">
      <c r="D1884" s="102">
        <v>46111</v>
      </c>
    </row>
    <row r="1885" spans="1:13" ht="27.75" customHeight="1" x14ac:dyDescent="0.25">
      <c r="D1885" s="105">
        <v>46113</v>
      </c>
    </row>
    <row r="1886" spans="1:13" ht="27.75" customHeight="1" x14ac:dyDescent="0.25">
      <c r="D1886" s="102">
        <v>46135</v>
      </c>
    </row>
    <row r="1887" spans="1:13" ht="27.75" customHeight="1" x14ac:dyDescent="0.25">
      <c r="D1887" s="105">
        <v>46147</v>
      </c>
    </row>
    <row r="1888" spans="1:13" ht="27.75" customHeight="1" x14ac:dyDescent="0.25">
      <c r="D1888" s="102">
        <v>46174</v>
      </c>
    </row>
    <row r="1889" spans="1:13" ht="27.75" customHeight="1" x14ac:dyDescent="0.25">
      <c r="D1889" s="105">
        <v>46176</v>
      </c>
    </row>
    <row r="1890" spans="1:13" ht="27.75" customHeight="1" x14ac:dyDescent="0.25">
      <c r="D1890" s="102">
        <v>46176</v>
      </c>
    </row>
    <row r="1891" spans="1:13" ht="27.75" customHeight="1" x14ac:dyDescent="0.25">
      <c r="D1891" s="105">
        <v>46232</v>
      </c>
    </row>
    <row r="1892" spans="1:13" ht="27.75" customHeight="1" x14ac:dyDescent="0.25">
      <c r="D1892" s="102">
        <v>46253</v>
      </c>
    </row>
    <row r="1893" spans="1:13" ht="27.75" customHeight="1" x14ac:dyDescent="0.25">
      <c r="D1893" s="105">
        <v>46253</v>
      </c>
    </row>
    <row r="1894" spans="1:13" ht="27.75" customHeight="1" x14ac:dyDescent="0.25">
      <c r="D1894" s="102">
        <v>43578</v>
      </c>
    </row>
    <row r="1895" spans="1:13" ht="27.75" customHeight="1" x14ac:dyDescent="0.25">
      <c r="D1895" s="105">
        <v>43605</v>
      </c>
    </row>
    <row r="1896" spans="1:13" ht="27.75" customHeight="1" x14ac:dyDescent="0.25">
      <c r="D1896" s="102">
        <v>43609</v>
      </c>
    </row>
    <row r="1897" spans="1:13" ht="27.75" customHeight="1" x14ac:dyDescent="0.25">
      <c r="D1897" s="105">
        <v>43619</v>
      </c>
    </row>
    <row r="1898" spans="1:13" ht="27.75" customHeight="1" x14ac:dyDescent="0.25">
      <c r="D1898" s="102">
        <v>43621</v>
      </c>
    </row>
    <row r="1899" spans="1:13" ht="27.75" customHeight="1" x14ac:dyDescent="0.25">
      <c r="D1899" s="105">
        <v>43707</v>
      </c>
    </row>
    <row r="1900" spans="1:13" ht="27.75" customHeight="1" x14ac:dyDescent="0.25">
      <c r="D1900" s="102">
        <v>43711</v>
      </c>
    </row>
    <row r="1901" spans="1:13" ht="27.75" customHeight="1" x14ac:dyDescent="0.25">
      <c r="D1901" s="105">
        <v>43711</v>
      </c>
    </row>
    <row r="1902" spans="1:13" ht="27.75" customHeight="1" x14ac:dyDescent="0.25">
      <c r="D1902" s="102">
        <v>43711</v>
      </c>
    </row>
    <row r="1903" spans="1:13" ht="27.75" customHeight="1" x14ac:dyDescent="0.25">
      <c r="D1903" s="105">
        <v>43713</v>
      </c>
    </row>
    <row r="1904" spans="1:13" ht="27.75" customHeight="1" x14ac:dyDescent="0.25">
      <c r="D1904" s="102">
        <v>43740</v>
      </c>
    </row>
    <row r="1905" spans="1:13" ht="27.75" customHeight="1" x14ac:dyDescent="0.25">
      <c r="D1905" s="105">
        <v>43866</v>
      </c>
    </row>
    <row r="1906" spans="1:13" ht="27.75" customHeight="1" x14ac:dyDescent="0.25">
      <c r="D1906" s="102">
        <v>43873</v>
      </c>
    </row>
    <row r="1907" spans="1:13" ht="27.75" customHeight="1" x14ac:dyDescent="0.25">
      <c r="D1907" s="105">
        <v>43899</v>
      </c>
    </row>
    <row r="1908" spans="1:13" ht="27.75" customHeight="1" x14ac:dyDescent="0.25">
      <c r="D1908" s="102">
        <v>43946</v>
      </c>
    </row>
    <row r="1909" spans="1:13" ht="27.75" customHeight="1" x14ac:dyDescent="0.25">
      <c r="D1909" s="105">
        <v>43987</v>
      </c>
    </row>
    <row r="1910" spans="1:13" ht="27.75" customHeight="1" x14ac:dyDescent="0.25">
      <c r="D1910" s="102">
        <v>43991</v>
      </c>
    </row>
    <row r="1911" spans="1:13" ht="27.75" customHeight="1" x14ac:dyDescent="0.25">
      <c r="D1911" s="105">
        <v>43992</v>
      </c>
    </row>
    <row r="1912" spans="1:13" ht="27.75" customHeight="1" x14ac:dyDescent="0.25">
      <c r="D1912" s="102">
        <v>44085</v>
      </c>
    </row>
    <row r="1913" spans="1:13" ht="27.75" customHeight="1" x14ac:dyDescent="0.25">
      <c r="D1913" s="105">
        <v>44134</v>
      </c>
    </row>
    <row r="1914" spans="1:13" ht="27.75" customHeight="1" x14ac:dyDescent="0.25">
      <c r="D1914" s="102">
        <v>44147</v>
      </c>
    </row>
    <row r="1915" spans="1:13" ht="27.75" customHeight="1" x14ac:dyDescent="0.25">
      <c r="D1915" s="105">
        <v>44161</v>
      </c>
    </row>
    <row r="1916" spans="1:13" ht="27.75" customHeight="1" x14ac:dyDescent="0.25">
      <c r="D1916" s="102">
        <v>44161</v>
      </c>
    </row>
    <row r="1917" spans="1:13" ht="27.75" customHeight="1" x14ac:dyDescent="0.25">
      <c r="D1917" s="105">
        <v>44210</v>
      </c>
    </row>
    <row r="1918" spans="1:13" ht="27.75" customHeight="1" x14ac:dyDescent="0.25">
      <c r="D1918" s="102">
        <v>44216</v>
      </c>
    </row>
    <row r="1919" spans="1:13" ht="27.75" customHeight="1" x14ac:dyDescent="0.25">
      <c r="D1919" s="105">
        <v>44238</v>
      </c>
    </row>
    <row r="1920" spans="1:13" ht="27.75" customHeight="1" x14ac:dyDescent="0.25">
      <c r="D1920" s="102">
        <v>44258</v>
      </c>
    </row>
    <row r="1921" spans="1:13" ht="27.75" customHeight="1" x14ac:dyDescent="0.25">
      <c r="D1921" s="105">
        <v>44294</v>
      </c>
    </row>
    <row r="1922" spans="1:13" ht="27.75" customHeight="1" x14ac:dyDescent="0.25">
      <c r="D1922" s="102">
        <v>44301</v>
      </c>
    </row>
    <row r="1923" spans="1:13" ht="27.75" customHeight="1" x14ac:dyDescent="0.25">
      <c r="D1923" s="105">
        <v>44365</v>
      </c>
    </row>
    <row r="1924" spans="1:13" ht="27.75" customHeight="1" x14ac:dyDescent="0.25">
      <c r="D1924" s="102">
        <v>44532</v>
      </c>
    </row>
    <row r="1925" spans="1:13" ht="27.75" customHeight="1" x14ac:dyDescent="0.25">
      <c r="D1925" s="105">
        <v>44574</v>
      </c>
    </row>
    <row r="1926" spans="1:13" ht="27.75" customHeight="1" x14ac:dyDescent="0.25">
      <c r="D1926" s="102">
        <v>44613</v>
      </c>
    </row>
    <row r="1927" spans="1:13" ht="27.75" customHeight="1" x14ac:dyDescent="0.25">
      <c r="D1927" s="105">
        <v>44622</v>
      </c>
    </row>
    <row r="1928" spans="1:13" ht="27.75" customHeight="1" x14ac:dyDescent="0.25">
      <c r="D1928" s="102">
        <v>44734</v>
      </c>
    </row>
    <row r="1929" spans="1:13" ht="27.75" customHeight="1" x14ac:dyDescent="0.25">
      <c r="D1929" s="105">
        <v>44771</v>
      </c>
    </row>
    <row r="1930" spans="1:13" ht="27.75" customHeight="1" x14ac:dyDescent="0.25">
      <c r="D1930" s="102">
        <v>44802</v>
      </c>
    </row>
    <row r="1931" spans="1:13" ht="27.75" customHeight="1" x14ac:dyDescent="0.25">
      <c r="D1931" s="105">
        <v>44831</v>
      </c>
    </row>
    <row r="1932" spans="1:13" ht="27.75" customHeight="1" x14ac:dyDescent="0.25">
      <c r="D1932" s="102">
        <v>44841</v>
      </c>
    </row>
    <row r="1933" spans="1:13" ht="27.75" customHeight="1" x14ac:dyDescent="0.25">
      <c r="D1933" s="105">
        <v>44895</v>
      </c>
    </row>
    <row r="1934" spans="1:13" ht="27.75" customHeight="1" x14ac:dyDescent="0.25">
      <c r="D1934" s="102">
        <v>44922</v>
      </c>
    </row>
    <row r="1935" spans="1:13" ht="27.75" customHeight="1" x14ac:dyDescent="0.25">
      <c r="D1935" s="105">
        <v>44922</v>
      </c>
    </row>
    <row r="1936" spans="1:13" ht="27.75" customHeight="1" x14ac:dyDescent="0.25">
      <c r="D1936" s="102">
        <v>44952</v>
      </c>
    </row>
    <row r="1937" spans="1:13" ht="27.75" customHeight="1" x14ac:dyDescent="0.25">
      <c r="D1937" s="105">
        <v>44954</v>
      </c>
    </row>
    <row r="1938" spans="1:13" ht="27.75" customHeight="1" x14ac:dyDescent="0.25">
      <c r="D1938" s="102">
        <v>44980</v>
      </c>
    </row>
    <row r="1939" spans="1:13" ht="27.75" customHeight="1" x14ac:dyDescent="0.25">
      <c r="D1939" s="105">
        <v>45027</v>
      </c>
    </row>
    <row r="1940" spans="1:13" ht="27.75" customHeight="1" x14ac:dyDescent="0.25">
      <c r="D1940" s="102">
        <v>45027</v>
      </c>
    </row>
    <row r="1941" spans="1:13" ht="27.75" customHeight="1" x14ac:dyDescent="0.25">
      <c r="D1941" s="105">
        <v>45027</v>
      </c>
    </row>
    <row r="1942" spans="1:13" ht="27.75" customHeight="1" x14ac:dyDescent="0.25">
      <c r="D1942" s="102">
        <v>45041</v>
      </c>
    </row>
    <row r="1943" spans="1:13" ht="27.75" customHeight="1" x14ac:dyDescent="0.25">
      <c r="D1943" s="105">
        <v>45091</v>
      </c>
    </row>
    <row r="1944" spans="1:13" ht="27.75" customHeight="1" x14ac:dyDescent="0.25">
      <c r="D1944" s="102">
        <v>45098</v>
      </c>
    </row>
    <row r="1945" spans="1:13" ht="27.75" customHeight="1" x14ac:dyDescent="0.25">
      <c r="D1945" s="105">
        <v>45106</v>
      </c>
    </row>
    <row r="1946" spans="1:13" ht="27.75" customHeight="1" x14ac:dyDescent="0.25">
      <c r="D1946" s="102">
        <v>45191</v>
      </c>
    </row>
    <row r="1947" spans="1:13" ht="27.75" customHeight="1" x14ac:dyDescent="0.25">
      <c r="D1947" s="105">
        <v>45212</v>
      </c>
    </row>
    <row r="1948" spans="1:13" ht="27.75" customHeight="1" x14ac:dyDescent="0.25">
      <c r="D1948" s="102">
        <v>45345</v>
      </c>
    </row>
    <row r="1949" spans="1:13" ht="27.75" customHeight="1" x14ac:dyDescent="0.25">
      <c r="D1949" s="105">
        <v>45364</v>
      </c>
    </row>
    <row r="1950" spans="1:13" ht="27.75" customHeight="1" x14ac:dyDescent="0.25">
      <c r="D1950" s="102">
        <v>45369</v>
      </c>
    </row>
    <row r="1951" spans="1:13" ht="27.75" customHeight="1" x14ac:dyDescent="0.25">
      <c r="D1951" s="105">
        <v>45412</v>
      </c>
    </row>
    <row r="1952" spans="1:13" ht="27.75" customHeight="1" x14ac:dyDescent="0.25">
      <c r="D1952" s="102">
        <v>45412</v>
      </c>
    </row>
    <row r="1953" spans="1:13" ht="27.75" customHeight="1" x14ac:dyDescent="0.25">
      <c r="D1953" s="105">
        <v>45412</v>
      </c>
    </row>
    <row r="1954" spans="1:13" ht="27.75" customHeight="1" x14ac:dyDescent="0.25">
      <c r="D1954" s="102">
        <v>45412</v>
      </c>
    </row>
    <row r="1955" spans="1:13" ht="27.75" customHeight="1" x14ac:dyDescent="0.25">
      <c r="D1955" s="105">
        <v>45447</v>
      </c>
    </row>
    <row r="1956" spans="1:13" ht="27.75" customHeight="1" x14ac:dyDescent="0.25">
      <c r="D1956" s="102">
        <v>45447</v>
      </c>
    </row>
    <row r="1957" spans="1:13" ht="27.75" customHeight="1" x14ac:dyDescent="0.25">
      <c r="D1957" s="105">
        <v>45467</v>
      </c>
    </row>
    <row r="1958" spans="1:13" ht="27.75" customHeight="1" x14ac:dyDescent="0.25">
      <c r="D1958" s="102">
        <v>45467</v>
      </c>
    </row>
    <row r="1959" spans="1:13" ht="27.75" customHeight="1" x14ac:dyDescent="0.25">
      <c r="D1959" s="105">
        <v>45467</v>
      </c>
    </row>
    <row r="1960" spans="1:13" ht="27.75" customHeight="1" x14ac:dyDescent="0.25">
      <c r="D1960" s="102">
        <v>45468</v>
      </c>
    </row>
    <row r="1961" spans="1:13" ht="27.75" customHeight="1" x14ac:dyDescent="0.25">
      <c r="D1961" s="105">
        <v>45622</v>
      </c>
    </row>
    <row r="1962" spans="1:13" ht="27.75" customHeight="1" x14ac:dyDescent="0.25">
      <c r="D1962" s="102">
        <v>45623</v>
      </c>
    </row>
    <row r="1963" spans="1:13" ht="27.75" customHeight="1" x14ac:dyDescent="0.25">
      <c r="D1963" s="105">
        <v>45624</v>
      </c>
    </row>
    <row r="1964" spans="1:13" ht="27.75" customHeight="1" x14ac:dyDescent="0.25">
      <c r="D1964" s="102">
        <v>45653</v>
      </c>
    </row>
    <row r="1965" spans="1:13" ht="27.75" customHeight="1" x14ac:dyDescent="0.25">
      <c r="D1965" s="105">
        <v>45692</v>
      </c>
    </row>
    <row r="1966" spans="1:13" ht="27.75" customHeight="1" x14ac:dyDescent="0.25">
      <c r="D1966" s="102">
        <v>45702</v>
      </c>
    </row>
    <row r="1967" spans="1:13" ht="27.75" customHeight="1" x14ac:dyDescent="0.25">
      <c r="D1967" s="105">
        <v>45734</v>
      </c>
    </row>
    <row r="1968" spans="1:13" ht="27.75" customHeight="1" x14ac:dyDescent="0.25">
      <c r="D1968" s="102">
        <v>45734</v>
      </c>
    </row>
    <row r="1969" spans="1:13" ht="27.75" customHeight="1" x14ac:dyDescent="0.25">
      <c r="D1969" s="105">
        <v>45734</v>
      </c>
    </row>
    <row r="1970" spans="1:13" ht="27.75" customHeight="1" x14ac:dyDescent="0.25">
      <c r="D1970" s="102">
        <v>45743</v>
      </c>
    </row>
    <row r="1971" spans="1:13" ht="27.75" customHeight="1" x14ac:dyDescent="0.25">
      <c r="D1971" s="105">
        <v>45743</v>
      </c>
    </row>
    <row r="1972" spans="1:13" ht="27.75" customHeight="1" x14ac:dyDescent="0.25">
      <c r="D1972" s="102">
        <v>45743</v>
      </c>
    </row>
    <row r="1973" spans="1:13" ht="27.75" customHeight="1" x14ac:dyDescent="0.25">
      <c r="D1973" s="105">
        <v>45763</v>
      </c>
    </row>
    <row r="1974" spans="1:13" ht="27.75" customHeight="1" x14ac:dyDescent="0.25">
      <c r="D1974" s="102">
        <v>45834</v>
      </c>
    </row>
    <row r="1975" spans="1:13" ht="27.75" customHeight="1" x14ac:dyDescent="0.25">
      <c r="D1975" s="105">
        <v>45846</v>
      </c>
    </row>
    <row r="1976" spans="1:13" ht="27.75" customHeight="1" x14ac:dyDescent="0.25">
      <c r="D1976" s="102">
        <v>45869</v>
      </c>
    </row>
    <row r="1977" spans="1:13" ht="27.75" customHeight="1" x14ac:dyDescent="0.25">
      <c r="D1977" s="105">
        <v>45876</v>
      </c>
    </row>
    <row r="1978" spans="1:13" ht="27.75" customHeight="1" x14ac:dyDescent="0.25">
      <c r="D1978" s="102">
        <v>45876</v>
      </c>
    </row>
    <row r="1979" spans="1:13" ht="27.75" customHeight="1" x14ac:dyDescent="0.25">
      <c r="D1979" s="105">
        <v>45996</v>
      </c>
    </row>
    <row r="1980" spans="1:13" ht="27.75" customHeight="1" x14ac:dyDescent="0.25">
      <c r="D1980" s="102">
        <v>46044</v>
      </c>
    </row>
    <row r="1981" spans="1:13" ht="27.75" customHeight="1" x14ac:dyDescent="0.25">
      <c r="D1981" s="105">
        <v>46044</v>
      </c>
    </row>
    <row r="1982" spans="1:13" ht="27.75" customHeight="1" x14ac:dyDescent="0.25">
      <c r="D1982" s="102">
        <v>46071</v>
      </c>
    </row>
    <row r="1983" spans="1:13" ht="27.75" customHeight="1" x14ac:dyDescent="0.25">
      <c r="D1983" s="105">
        <v>46093</v>
      </c>
    </row>
    <row r="1984" spans="1:13" ht="27.75" customHeight="1" x14ac:dyDescent="0.25">
      <c r="D1984" s="102">
        <v>46111</v>
      </c>
    </row>
    <row r="1985" spans="1:13" ht="27.75" customHeight="1" x14ac:dyDescent="0.25">
      <c r="D1985" s="105">
        <v>46112</v>
      </c>
    </row>
    <row r="1986" spans="1:13" ht="27.75" customHeight="1" x14ac:dyDescent="0.25">
      <c r="D1986" s="102">
        <v>46136</v>
      </c>
    </row>
    <row r="1987" spans="1:13" ht="27.75" customHeight="1" x14ac:dyDescent="0.25">
      <c r="D1987" s="105">
        <v>46169</v>
      </c>
    </row>
    <row r="1988" spans="1:13" ht="27.75" customHeight="1" x14ac:dyDescent="0.25">
      <c r="D1988" s="102">
        <v>46183</v>
      </c>
    </row>
    <row r="1989" spans="1:13" ht="27.75" customHeight="1" x14ac:dyDescent="0.25">
      <c r="D1989" s="105">
        <v>46183</v>
      </c>
    </row>
    <row r="1990" spans="1:13" ht="27.75" customHeight="1" x14ac:dyDescent="0.25">
      <c r="D1990" s="102">
        <v>46225</v>
      </c>
    </row>
    <row r="1991" spans="1:13" ht="27.75" customHeight="1" x14ac:dyDescent="0.25">
      <c r="D1991" s="105">
        <v>45761</v>
      </c>
    </row>
    <row r="1992" spans="1:13" ht="27.75" customHeight="1" x14ac:dyDescent="0.25">
      <c r="D1992" s="102">
        <v>44700</v>
      </c>
    </row>
    <row r="1993" spans="1:13" ht="27.75" customHeight="1" x14ac:dyDescent="0.25">
      <c r="D1993" s="105">
        <v>45579</v>
      </c>
    </row>
    <row r="1994" spans="1:13" ht="27.75" customHeight="1" x14ac:dyDescent="0.25">
      <c r="D1994" s="102">
        <v>45988</v>
      </c>
    </row>
    <row r="1995" spans="1:13" ht="27.75" customHeight="1" x14ac:dyDescent="0.25">
      <c r="D1995" s="105">
        <v>45988</v>
      </c>
    </row>
    <row r="1996" spans="1:13" ht="27.75" customHeight="1" x14ac:dyDescent="0.25">
      <c r="D1996" s="102">
        <v>45527</v>
      </c>
    </row>
    <row r="1997" spans="1:13" ht="27.75" customHeight="1" x14ac:dyDescent="0.25">
      <c r="D1997" s="105">
        <v>45406</v>
      </c>
    </row>
  </sheetData>
  <sheetProtection sheet="1" formatCells="0" formatColumns="0" formatRows="0" sort="0" autoFilter="0"/>
  <autoFilter ref="A1:M1997" xr:uid="{00000000-0009-0000-0000-000006000000}"/>
  <pageMargins left="0.75" right="0.75" top="1" bottom="1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654"/>
  <sheetViews>
    <sheetView zoomScale="90" zoomScaleNormal="9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8" customWidth="1"/>
    <col min="2" max="2" width="40" customWidth="1"/>
    <col min="3" max="3" width="24" customWidth="1"/>
    <col min="4" max="4" width="16" customWidth="1"/>
    <col min="5" max="5" width="22" customWidth="1"/>
    <col min="6" max="7" width="24" customWidth="1"/>
    <col min="8" max="8" width="3" hidden="1" customWidth="1"/>
    <col min="9" max="9" width="26" customWidth="1"/>
    <col min="10" max="10" width="20" customWidth="1"/>
  </cols>
  <sheetData>
    <row r="1" spans="1:10" ht="33.75" customHeight="1" x14ac:dyDescent="0.25"/>
    <row r="2" spans="1:10" ht="15.75" customHeight="1" x14ac:dyDescent="0.25"/>
    <row r="3" spans="1:10" ht="15.75" customHeight="1" x14ac:dyDescent="0.25"/>
    <row r="4" spans="1:10" ht="15.75" customHeight="1" x14ac:dyDescent="0.25"/>
    <row r="5" spans="1:10" ht="15.75" customHeight="1" x14ac:dyDescent="0.25"/>
    <row r="6" spans="1:10" ht="15.75" customHeight="1" x14ac:dyDescent="0.25"/>
    <row r="7" spans="1:10" ht="15.75" customHeight="1" x14ac:dyDescent="0.25"/>
    <row r="8" spans="1:10" ht="15.75" customHeight="1" x14ac:dyDescent="0.25"/>
    <row r="9" spans="1:10" ht="15.75" customHeight="1" x14ac:dyDescent="0.25"/>
    <row r="10" spans="1:10" ht="15.75" customHeight="1" x14ac:dyDescent="0.25"/>
    <row r="11" spans="1:10" ht="15.75" customHeight="1" x14ac:dyDescent="0.25"/>
    <row r="12" spans="1:10" ht="15.75" customHeight="1" x14ac:dyDescent="0.25"/>
    <row r="13" spans="1:10" ht="15.75" customHeight="1" x14ac:dyDescent="0.25"/>
    <row r="14" spans="1:10" ht="15.75" customHeight="1" x14ac:dyDescent="0.25"/>
    <row r="15" spans="1:10" ht="15.75" customHeight="1" x14ac:dyDescent="0.25"/>
    <row r="16" spans="1:10" ht="15.75" customHeight="1" x14ac:dyDescent="0.25"/>
    <row r="17" spans="1:10" ht="15.75" customHeight="1" x14ac:dyDescent="0.25"/>
    <row r="18" spans="1:10" ht="15.75" customHeight="1" x14ac:dyDescent="0.25"/>
    <row r="19" spans="1:10" ht="15.75" customHeight="1" x14ac:dyDescent="0.25"/>
    <row r="20" spans="1:10" ht="15.75" customHeight="1" x14ac:dyDescent="0.25"/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spans="1:10" ht="15.75" customHeight="1" x14ac:dyDescent="0.25"/>
    <row r="34" spans="1:10" ht="15.75" customHeight="1" x14ac:dyDescent="0.25"/>
    <row r="35" spans="1:10" ht="15.75" customHeight="1" x14ac:dyDescent="0.25"/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spans="1:10" ht="15.75" customHeight="1" x14ac:dyDescent="0.25"/>
    <row r="50" spans="1:10" ht="15.75" customHeight="1" x14ac:dyDescent="0.25"/>
    <row r="51" spans="1:10" ht="15.75" customHeight="1" x14ac:dyDescent="0.25"/>
    <row r="52" spans="1:10" ht="15.75" customHeight="1" x14ac:dyDescent="0.25"/>
    <row r="53" spans="1:10" ht="15.75" customHeight="1" x14ac:dyDescent="0.25"/>
    <row r="54" spans="1:10" ht="15.75" customHeight="1" x14ac:dyDescent="0.25"/>
    <row r="55" spans="1:10" ht="15.75" customHeight="1" x14ac:dyDescent="0.25"/>
    <row r="56" spans="1:10" ht="15.75" customHeight="1" x14ac:dyDescent="0.25"/>
    <row r="57" spans="1:10" ht="15.75" customHeight="1" x14ac:dyDescent="0.25"/>
    <row r="58" spans="1:10" ht="15.75" customHeight="1" x14ac:dyDescent="0.25"/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spans="1:10" ht="15.75" customHeight="1" x14ac:dyDescent="0.25"/>
    <row r="66" spans="1:10" ht="15.75" customHeight="1" x14ac:dyDescent="0.25"/>
    <row r="67" spans="1:10" ht="15.75" customHeight="1" x14ac:dyDescent="0.25"/>
    <row r="68" spans="1:10" ht="15.75" customHeight="1" x14ac:dyDescent="0.25"/>
    <row r="69" spans="1:10" ht="15.75" customHeight="1" x14ac:dyDescent="0.25"/>
    <row r="70" spans="1:10" ht="15.75" customHeight="1" x14ac:dyDescent="0.25"/>
    <row r="71" spans="1:10" ht="15.75" customHeight="1" x14ac:dyDescent="0.25"/>
    <row r="72" spans="1:10" ht="15.75" customHeight="1" x14ac:dyDescent="0.25"/>
    <row r="73" spans="1:10" ht="15.75" customHeight="1" x14ac:dyDescent="0.25"/>
    <row r="74" spans="1:10" ht="15.75" customHeight="1" x14ac:dyDescent="0.25"/>
    <row r="75" spans="1:10" ht="15.75" customHeight="1" x14ac:dyDescent="0.25"/>
    <row r="76" spans="1:10" ht="15.75" customHeight="1" x14ac:dyDescent="0.25"/>
    <row r="77" spans="1:10" ht="15.75" customHeight="1" x14ac:dyDescent="0.25"/>
    <row r="78" spans="1:10" ht="15.75" customHeight="1" x14ac:dyDescent="0.25"/>
    <row r="79" spans="1:10" ht="15.75" customHeight="1" x14ac:dyDescent="0.25"/>
    <row r="80" spans="1:10" ht="15.75" customHeight="1" x14ac:dyDescent="0.25"/>
    <row r="81" spans="1:10" ht="15.75" customHeight="1" x14ac:dyDescent="0.25"/>
    <row r="82" spans="1:10" ht="15.75" customHeight="1" x14ac:dyDescent="0.25"/>
    <row r="83" spans="1:10" ht="15.75" customHeight="1" x14ac:dyDescent="0.25"/>
    <row r="84" spans="1:10" ht="15.75" customHeight="1" x14ac:dyDescent="0.25"/>
    <row r="85" spans="1:10" ht="15.75" customHeight="1" x14ac:dyDescent="0.25"/>
    <row r="86" spans="1:10" ht="15.75" customHeight="1" x14ac:dyDescent="0.25"/>
    <row r="87" spans="1:10" ht="15.75" customHeight="1" x14ac:dyDescent="0.25"/>
    <row r="88" spans="1:10" ht="15.75" customHeight="1" x14ac:dyDescent="0.25"/>
    <row r="89" spans="1:10" ht="15.75" customHeight="1" x14ac:dyDescent="0.25"/>
    <row r="90" spans="1:10" ht="15.75" customHeight="1" x14ac:dyDescent="0.25"/>
    <row r="91" spans="1:10" ht="15.75" customHeight="1" x14ac:dyDescent="0.25"/>
    <row r="92" spans="1:10" ht="15.75" customHeight="1" x14ac:dyDescent="0.25"/>
    <row r="93" spans="1:10" ht="15.75" customHeight="1" x14ac:dyDescent="0.25"/>
    <row r="94" spans="1:10" ht="15.75" customHeight="1" x14ac:dyDescent="0.25"/>
    <row r="95" spans="1:10" ht="15.75" customHeight="1" x14ac:dyDescent="0.25"/>
    <row r="96" spans="1:10" ht="15.75" customHeight="1" x14ac:dyDescent="0.25"/>
    <row r="97" spans="1:10" ht="15.75" customHeight="1" x14ac:dyDescent="0.25"/>
    <row r="98" spans="1:10" ht="15.75" customHeight="1" x14ac:dyDescent="0.25"/>
    <row r="99" spans="1:10" ht="15.75" customHeight="1" x14ac:dyDescent="0.25"/>
    <row r="100" spans="1:10" ht="15.75" customHeight="1" x14ac:dyDescent="0.25"/>
    <row r="101" spans="1:10" ht="15.75" customHeight="1" x14ac:dyDescent="0.25"/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spans="1:10" ht="15.75" customHeight="1" x14ac:dyDescent="0.25"/>
    <row r="114" spans="1:10" ht="15.75" customHeight="1" x14ac:dyDescent="0.25"/>
    <row r="115" spans="1:10" ht="15.75" customHeight="1" x14ac:dyDescent="0.25"/>
    <row r="116" spans="1:10" ht="15.75" customHeight="1" x14ac:dyDescent="0.25"/>
    <row r="117" spans="1:10" ht="15.75" customHeight="1" x14ac:dyDescent="0.25"/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spans="1:10" ht="15.75" customHeight="1" x14ac:dyDescent="0.25"/>
    <row r="130" spans="1:10" ht="15.75" customHeight="1" x14ac:dyDescent="0.25"/>
    <row r="131" spans="1:10" ht="15.75" customHeight="1" x14ac:dyDescent="0.25"/>
    <row r="132" spans="1:10" ht="15.75" customHeight="1" x14ac:dyDescent="0.25"/>
    <row r="133" spans="1:10" ht="15.75" customHeight="1" x14ac:dyDescent="0.25"/>
    <row r="134" spans="1:10" ht="15.75" customHeight="1" x14ac:dyDescent="0.25"/>
    <row r="135" spans="1:10" ht="15.75" customHeight="1" x14ac:dyDescent="0.25"/>
    <row r="136" spans="1:10" ht="15.75" customHeight="1" x14ac:dyDescent="0.25"/>
    <row r="137" spans="1:10" ht="15.75" customHeight="1" x14ac:dyDescent="0.25"/>
    <row r="138" spans="1:10" ht="15.75" customHeight="1" x14ac:dyDescent="0.25"/>
    <row r="139" spans="1:10" ht="15.75" customHeight="1" x14ac:dyDescent="0.25"/>
    <row r="140" spans="1:10" ht="15.75" customHeight="1" x14ac:dyDescent="0.25"/>
    <row r="141" spans="1:10" ht="15.75" customHeight="1" x14ac:dyDescent="0.25"/>
    <row r="142" spans="1:10" ht="15.75" customHeight="1" x14ac:dyDescent="0.25"/>
    <row r="143" spans="1:10" ht="15.75" customHeight="1" x14ac:dyDescent="0.25"/>
    <row r="144" spans="1:10" ht="15.75" customHeight="1" x14ac:dyDescent="0.25"/>
    <row r="145" spans="1:10" ht="15.75" customHeight="1" x14ac:dyDescent="0.25"/>
    <row r="146" spans="1:10" ht="15.75" customHeight="1" x14ac:dyDescent="0.25"/>
    <row r="147" spans="1:10" ht="15.75" customHeight="1" x14ac:dyDescent="0.25"/>
    <row r="148" spans="1:10" ht="15.75" customHeight="1" x14ac:dyDescent="0.25"/>
    <row r="149" spans="1:10" ht="15.75" customHeight="1" x14ac:dyDescent="0.25"/>
    <row r="150" spans="1:10" ht="15.75" customHeight="1" x14ac:dyDescent="0.25"/>
    <row r="151" spans="1:10" ht="15.75" customHeight="1" x14ac:dyDescent="0.25"/>
    <row r="152" spans="1:10" ht="15.75" customHeight="1" x14ac:dyDescent="0.25"/>
    <row r="153" spans="1:10" ht="15.75" customHeight="1" x14ac:dyDescent="0.25"/>
    <row r="154" spans="1:10" ht="15.75" customHeight="1" x14ac:dyDescent="0.25"/>
    <row r="155" spans="1:10" ht="15.75" customHeight="1" x14ac:dyDescent="0.25"/>
    <row r="156" spans="1:10" ht="15.75" customHeight="1" x14ac:dyDescent="0.25"/>
    <row r="157" spans="1:10" ht="15.75" customHeight="1" x14ac:dyDescent="0.25"/>
    <row r="158" spans="1:10" ht="15.75" customHeight="1" x14ac:dyDescent="0.25"/>
    <row r="159" spans="1:10" ht="15.75" customHeight="1" x14ac:dyDescent="0.25"/>
    <row r="160" spans="1:10" ht="15.75" customHeight="1" x14ac:dyDescent="0.25"/>
    <row r="161" spans="1:10" ht="15.75" customHeight="1" x14ac:dyDescent="0.25"/>
    <row r="162" spans="1:10" ht="15.75" customHeight="1" x14ac:dyDescent="0.25"/>
    <row r="163" spans="1:10" ht="15.75" customHeight="1" x14ac:dyDescent="0.25"/>
    <row r="164" spans="1:10" ht="15.75" customHeight="1" x14ac:dyDescent="0.25"/>
    <row r="165" spans="1:10" ht="15.75" customHeight="1" x14ac:dyDescent="0.25"/>
    <row r="166" spans="1:10" ht="15.75" customHeight="1" x14ac:dyDescent="0.25"/>
    <row r="167" spans="1:10" ht="15.75" customHeight="1" x14ac:dyDescent="0.25"/>
    <row r="168" spans="1:10" ht="15.75" customHeight="1" x14ac:dyDescent="0.25"/>
    <row r="169" spans="1:10" ht="15.75" customHeight="1" x14ac:dyDescent="0.25"/>
    <row r="170" spans="1:10" ht="15.75" customHeight="1" x14ac:dyDescent="0.25"/>
    <row r="171" spans="1:10" ht="15.75" customHeight="1" x14ac:dyDescent="0.25"/>
    <row r="172" spans="1:10" ht="15.75" customHeight="1" x14ac:dyDescent="0.25"/>
    <row r="173" spans="1:10" ht="15.75" customHeight="1" x14ac:dyDescent="0.25"/>
    <row r="174" spans="1:10" ht="15.75" customHeight="1" x14ac:dyDescent="0.25"/>
    <row r="175" spans="1:10" ht="15.75" customHeight="1" x14ac:dyDescent="0.25"/>
    <row r="176" spans="1:10" ht="15.75" customHeight="1" x14ac:dyDescent="0.25"/>
    <row r="177" spans="1:10" ht="15.75" customHeight="1" x14ac:dyDescent="0.25"/>
    <row r="178" spans="1:10" ht="15.75" customHeight="1" x14ac:dyDescent="0.25"/>
    <row r="179" spans="1:10" ht="15.75" customHeight="1" x14ac:dyDescent="0.25"/>
    <row r="180" spans="1:10" ht="15.75" customHeight="1" x14ac:dyDescent="0.25"/>
    <row r="181" spans="1:10" ht="15.75" customHeight="1" x14ac:dyDescent="0.25"/>
    <row r="182" spans="1:10" ht="15.75" customHeight="1" x14ac:dyDescent="0.25"/>
    <row r="183" spans="1:10" ht="15.75" customHeight="1" x14ac:dyDescent="0.25"/>
    <row r="184" spans="1:10" ht="15.75" customHeight="1" x14ac:dyDescent="0.25"/>
    <row r="185" spans="1:10" ht="15.75" customHeight="1" x14ac:dyDescent="0.25"/>
    <row r="186" spans="1:10" ht="15.75" customHeight="1" x14ac:dyDescent="0.25"/>
    <row r="187" spans="1:10" ht="15.75" customHeight="1" x14ac:dyDescent="0.25"/>
    <row r="188" spans="1:10" ht="15.75" customHeight="1" x14ac:dyDescent="0.25"/>
    <row r="189" spans="1:10" ht="15.75" customHeight="1" x14ac:dyDescent="0.25"/>
    <row r="190" spans="1:10" ht="15.75" customHeight="1" x14ac:dyDescent="0.25"/>
    <row r="191" spans="1:10" ht="15.75" customHeight="1" x14ac:dyDescent="0.25"/>
    <row r="192" spans="1:10" ht="15.75" customHeight="1" x14ac:dyDescent="0.25"/>
    <row r="193" spans="1:10" ht="15.75" customHeight="1" x14ac:dyDescent="0.25"/>
    <row r="194" spans="1:10" ht="15.75" customHeight="1" x14ac:dyDescent="0.25"/>
    <row r="195" spans="1:10" ht="15.75" customHeight="1" x14ac:dyDescent="0.25"/>
    <row r="196" spans="1:10" ht="15.75" customHeight="1" x14ac:dyDescent="0.25"/>
    <row r="197" spans="1:10" ht="15.75" customHeight="1" x14ac:dyDescent="0.25"/>
    <row r="198" spans="1:10" ht="15.75" customHeight="1" x14ac:dyDescent="0.25"/>
    <row r="199" spans="1:10" ht="15.75" customHeight="1" x14ac:dyDescent="0.25"/>
    <row r="200" spans="1:10" ht="15.75" customHeight="1" x14ac:dyDescent="0.25"/>
    <row r="201" spans="1:10" ht="15.75" customHeight="1" x14ac:dyDescent="0.25"/>
    <row r="202" spans="1:10" ht="15.75" customHeight="1" x14ac:dyDescent="0.25"/>
    <row r="203" spans="1:10" ht="15.75" customHeight="1" x14ac:dyDescent="0.25"/>
    <row r="204" spans="1:10" ht="15.75" customHeight="1" x14ac:dyDescent="0.25"/>
    <row r="205" spans="1:10" ht="15.75" customHeight="1" x14ac:dyDescent="0.25"/>
    <row r="206" spans="1:10" ht="15.75" customHeight="1" x14ac:dyDescent="0.25"/>
    <row r="207" spans="1:10" ht="15.75" customHeight="1" x14ac:dyDescent="0.25"/>
    <row r="208" spans="1:10" ht="15.75" customHeight="1" x14ac:dyDescent="0.25"/>
    <row r="209" spans="1:10" ht="15.75" customHeight="1" x14ac:dyDescent="0.25"/>
    <row r="210" spans="1:10" ht="15.75" customHeight="1" x14ac:dyDescent="0.25"/>
    <row r="211" spans="1:10" ht="15.75" customHeight="1" x14ac:dyDescent="0.25"/>
    <row r="212" spans="1:10" ht="15.75" customHeight="1" x14ac:dyDescent="0.25"/>
    <row r="213" spans="1:10" ht="15.75" customHeight="1" x14ac:dyDescent="0.25"/>
    <row r="214" spans="1:10" ht="15.75" customHeight="1" x14ac:dyDescent="0.25"/>
    <row r="215" spans="1:10" ht="15.75" customHeight="1" x14ac:dyDescent="0.25"/>
    <row r="216" spans="1:10" ht="15.75" customHeight="1" x14ac:dyDescent="0.25"/>
    <row r="217" spans="1:10" ht="15.75" customHeight="1" x14ac:dyDescent="0.25"/>
    <row r="218" spans="1:10" ht="15.75" customHeight="1" x14ac:dyDescent="0.25"/>
    <row r="219" spans="1:10" ht="15.75" customHeight="1" x14ac:dyDescent="0.25"/>
    <row r="220" spans="1:10" ht="15.75" customHeight="1" x14ac:dyDescent="0.25"/>
    <row r="221" spans="1:10" ht="15.75" customHeight="1" x14ac:dyDescent="0.25"/>
    <row r="222" spans="1:10" ht="15.75" customHeight="1" x14ac:dyDescent="0.25"/>
    <row r="223" spans="1:10" ht="15.75" customHeight="1" x14ac:dyDescent="0.25"/>
    <row r="224" spans="1:10" ht="15.75" customHeight="1" x14ac:dyDescent="0.25"/>
    <row r="225" spans="1:10" ht="15.75" customHeight="1" x14ac:dyDescent="0.25"/>
    <row r="226" spans="1:10" ht="15.75" customHeight="1" x14ac:dyDescent="0.25"/>
    <row r="227" spans="1:10" ht="15.75" customHeight="1" x14ac:dyDescent="0.25"/>
    <row r="228" spans="1:10" ht="15.75" customHeight="1" x14ac:dyDescent="0.25"/>
    <row r="229" spans="1:10" ht="15.75" customHeight="1" x14ac:dyDescent="0.25"/>
    <row r="230" spans="1:10" ht="15.75" customHeight="1" x14ac:dyDescent="0.25"/>
    <row r="231" spans="1:10" ht="15.75" customHeight="1" x14ac:dyDescent="0.25"/>
    <row r="232" spans="1:10" ht="15.75" customHeight="1" x14ac:dyDescent="0.25"/>
    <row r="233" spans="1:10" ht="15.75" customHeight="1" x14ac:dyDescent="0.25"/>
    <row r="234" spans="1:10" ht="15.75" customHeight="1" x14ac:dyDescent="0.25"/>
    <row r="235" spans="1:10" ht="15.75" customHeight="1" x14ac:dyDescent="0.25"/>
    <row r="236" spans="1:10" ht="15.75" customHeight="1" x14ac:dyDescent="0.25"/>
    <row r="237" spans="1:10" ht="15.75" customHeight="1" x14ac:dyDescent="0.25"/>
    <row r="238" spans="1:10" ht="15.75" customHeight="1" x14ac:dyDescent="0.25"/>
    <row r="239" spans="1:10" ht="15.75" customHeight="1" x14ac:dyDescent="0.25"/>
    <row r="240" spans="1:10" ht="15.75" customHeight="1" x14ac:dyDescent="0.25"/>
    <row r="241" spans="1:10" ht="15.75" customHeight="1" x14ac:dyDescent="0.25"/>
    <row r="242" spans="1:10" ht="15.75" customHeight="1" x14ac:dyDescent="0.25"/>
    <row r="243" spans="1:10" ht="15.75" customHeight="1" x14ac:dyDescent="0.25"/>
    <row r="244" spans="1:10" ht="15.75" customHeight="1" x14ac:dyDescent="0.25"/>
    <row r="245" spans="1:10" ht="15.75" customHeight="1" x14ac:dyDescent="0.25"/>
    <row r="246" spans="1:10" ht="15.75" customHeight="1" x14ac:dyDescent="0.25"/>
    <row r="247" spans="1:10" ht="15.75" customHeight="1" x14ac:dyDescent="0.25"/>
    <row r="248" spans="1:10" ht="15.75" customHeight="1" x14ac:dyDescent="0.25"/>
    <row r="249" spans="1:10" ht="15.75" customHeight="1" x14ac:dyDescent="0.25"/>
    <row r="250" spans="1:10" ht="15.75" customHeight="1" x14ac:dyDescent="0.25"/>
    <row r="251" spans="1:10" ht="15.75" customHeight="1" x14ac:dyDescent="0.25"/>
    <row r="252" spans="1:10" ht="15.75" customHeight="1" x14ac:dyDescent="0.25"/>
    <row r="253" spans="1:10" ht="15.75" customHeight="1" x14ac:dyDescent="0.25"/>
    <row r="254" spans="1:10" ht="15.75" customHeight="1" x14ac:dyDescent="0.25"/>
    <row r="255" spans="1:10" ht="15.75" customHeight="1" x14ac:dyDescent="0.25"/>
    <row r="256" spans="1:10" ht="15.75" customHeight="1" x14ac:dyDescent="0.25"/>
    <row r="257" spans="1:10" ht="15.75" customHeight="1" x14ac:dyDescent="0.25"/>
    <row r="258" spans="1:10" ht="15.75" customHeight="1" x14ac:dyDescent="0.25"/>
    <row r="259" spans="1:10" ht="15.75" customHeight="1" x14ac:dyDescent="0.25"/>
    <row r="260" spans="1:10" ht="15.75" customHeight="1" x14ac:dyDescent="0.25"/>
    <row r="261" spans="1:10" ht="15.75" customHeight="1" x14ac:dyDescent="0.25"/>
    <row r="262" spans="1:10" ht="15.75" customHeight="1" x14ac:dyDescent="0.25"/>
    <row r="263" spans="1:10" ht="15.75" customHeight="1" x14ac:dyDescent="0.25"/>
    <row r="264" spans="1:10" ht="15.75" customHeight="1" x14ac:dyDescent="0.25"/>
    <row r="265" spans="1:10" ht="15.75" customHeight="1" x14ac:dyDescent="0.25"/>
    <row r="266" spans="1:10" ht="15.75" customHeight="1" x14ac:dyDescent="0.25"/>
    <row r="267" spans="1:10" ht="15.75" customHeight="1" x14ac:dyDescent="0.25"/>
    <row r="268" spans="1:10" ht="15.75" customHeight="1" x14ac:dyDescent="0.25"/>
    <row r="269" spans="1:10" ht="15.75" customHeight="1" x14ac:dyDescent="0.25"/>
    <row r="270" spans="1:10" ht="15.75" customHeight="1" x14ac:dyDescent="0.25"/>
    <row r="271" spans="1:10" ht="15.75" customHeight="1" x14ac:dyDescent="0.25"/>
    <row r="272" spans="1:10" ht="15.75" customHeight="1" x14ac:dyDescent="0.25"/>
    <row r="273" spans="1:10" ht="15.75" customHeight="1" x14ac:dyDescent="0.25"/>
    <row r="274" spans="1:10" ht="15.75" customHeight="1" x14ac:dyDescent="0.25"/>
    <row r="275" spans="1:10" ht="15.75" customHeight="1" x14ac:dyDescent="0.25"/>
    <row r="276" spans="1:10" ht="15.75" customHeight="1" x14ac:dyDescent="0.25"/>
    <row r="277" spans="1:10" ht="15.75" customHeight="1" x14ac:dyDescent="0.25"/>
    <row r="278" spans="1:10" ht="15.75" customHeight="1" x14ac:dyDescent="0.25"/>
    <row r="279" spans="1:10" ht="15.75" customHeight="1" x14ac:dyDescent="0.25"/>
    <row r="280" spans="1:10" ht="15.75" customHeight="1" x14ac:dyDescent="0.25"/>
    <row r="281" spans="1:10" ht="15.75" customHeight="1" x14ac:dyDescent="0.25"/>
    <row r="282" spans="1:10" ht="15.75" customHeight="1" x14ac:dyDescent="0.25"/>
    <row r="283" spans="1:10" ht="15.75" customHeight="1" x14ac:dyDescent="0.25"/>
    <row r="284" spans="1:10" ht="15.75" customHeight="1" x14ac:dyDescent="0.25"/>
    <row r="285" spans="1:10" ht="15.75" customHeight="1" x14ac:dyDescent="0.25"/>
    <row r="286" spans="1:10" ht="15.75" customHeight="1" x14ac:dyDescent="0.25"/>
    <row r="287" spans="1:10" ht="15.75" customHeight="1" x14ac:dyDescent="0.25"/>
    <row r="288" spans="1:10" ht="15.75" customHeight="1" x14ac:dyDescent="0.25"/>
    <row r="289" spans="1:10" ht="15.75" customHeight="1" x14ac:dyDescent="0.25"/>
    <row r="290" spans="1:10" ht="15.75" customHeight="1" x14ac:dyDescent="0.25"/>
    <row r="291" spans="1:10" ht="15.75" customHeight="1" x14ac:dyDescent="0.25"/>
    <row r="292" spans="1:10" ht="15.75" customHeight="1" x14ac:dyDescent="0.25"/>
    <row r="293" spans="1:10" ht="15.75" customHeight="1" x14ac:dyDescent="0.25"/>
    <row r="294" spans="1:10" ht="15.75" customHeight="1" x14ac:dyDescent="0.25"/>
    <row r="295" spans="1:10" ht="15.75" customHeight="1" x14ac:dyDescent="0.25"/>
    <row r="296" spans="1:10" ht="15.75" customHeight="1" x14ac:dyDescent="0.25"/>
    <row r="297" spans="1:10" ht="15.75" customHeight="1" x14ac:dyDescent="0.25"/>
    <row r="298" spans="1:10" ht="15.75" customHeight="1" x14ac:dyDescent="0.25"/>
    <row r="299" spans="1:10" ht="15.75" customHeight="1" x14ac:dyDescent="0.25"/>
    <row r="300" spans="1:10" ht="15.75" customHeight="1" x14ac:dyDescent="0.25"/>
    <row r="301" spans="1:10" ht="15.75" customHeight="1" x14ac:dyDescent="0.25"/>
    <row r="302" spans="1:10" ht="15.75" customHeight="1" x14ac:dyDescent="0.25"/>
    <row r="303" spans="1:10" ht="15.75" customHeight="1" x14ac:dyDescent="0.25"/>
    <row r="304" spans="1:10" ht="15.75" customHeight="1" x14ac:dyDescent="0.25"/>
    <row r="305" spans="1:10" ht="15.75" customHeight="1" x14ac:dyDescent="0.25"/>
    <row r="306" spans="1:10" ht="15.75" customHeight="1" x14ac:dyDescent="0.25"/>
    <row r="307" spans="1:10" ht="15.75" customHeight="1" x14ac:dyDescent="0.25"/>
    <row r="308" spans="1:10" ht="15.75" customHeight="1" x14ac:dyDescent="0.25"/>
    <row r="309" spans="1:10" ht="15.75" customHeight="1" x14ac:dyDescent="0.25"/>
    <row r="310" spans="1:10" ht="15.75" customHeight="1" x14ac:dyDescent="0.25"/>
    <row r="311" spans="1:10" ht="15.75" customHeight="1" x14ac:dyDescent="0.25"/>
    <row r="312" spans="1:10" ht="15.75" customHeight="1" x14ac:dyDescent="0.25"/>
    <row r="313" spans="1:10" ht="15.75" customHeight="1" x14ac:dyDescent="0.25"/>
    <row r="314" spans="1:10" ht="15.75" customHeight="1" x14ac:dyDescent="0.25"/>
    <row r="315" spans="1:10" ht="15.75" customHeight="1" x14ac:dyDescent="0.25"/>
    <row r="316" spans="1:10" ht="15.75" customHeight="1" x14ac:dyDescent="0.25"/>
    <row r="317" spans="1:10" ht="15.75" customHeight="1" x14ac:dyDescent="0.25"/>
    <row r="318" spans="1:10" ht="15.75" customHeight="1" x14ac:dyDescent="0.25"/>
    <row r="319" spans="1:10" ht="15.75" customHeight="1" x14ac:dyDescent="0.25"/>
    <row r="320" spans="1:10" ht="15.75" customHeight="1" x14ac:dyDescent="0.25"/>
    <row r="321" spans="1:10" ht="15.75" customHeight="1" x14ac:dyDescent="0.25"/>
    <row r="322" spans="1:10" ht="15.75" customHeight="1" x14ac:dyDescent="0.25"/>
    <row r="323" spans="1:10" ht="15.75" customHeight="1" x14ac:dyDescent="0.25"/>
    <row r="324" spans="1:10" ht="15.75" customHeight="1" x14ac:dyDescent="0.25"/>
    <row r="325" spans="1:10" ht="15.75" customHeight="1" x14ac:dyDescent="0.25"/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spans="1:10" ht="15.75" customHeight="1" x14ac:dyDescent="0.25"/>
    <row r="338" spans="1:10" ht="15.75" customHeight="1" x14ac:dyDescent="0.25"/>
    <row r="339" spans="1:10" ht="15.75" customHeight="1" x14ac:dyDescent="0.25"/>
    <row r="340" spans="1:10" ht="15.75" customHeight="1" x14ac:dyDescent="0.25"/>
    <row r="341" spans="1:10" ht="15.75" customHeight="1" x14ac:dyDescent="0.25"/>
    <row r="342" spans="1:10" ht="15.75" customHeight="1" x14ac:dyDescent="0.25"/>
    <row r="343" spans="1:10" ht="15.75" customHeight="1" x14ac:dyDescent="0.25"/>
    <row r="344" spans="1:10" ht="15.75" customHeight="1" x14ac:dyDescent="0.25"/>
    <row r="345" spans="1:10" ht="15.75" customHeight="1" x14ac:dyDescent="0.25"/>
    <row r="346" spans="1:10" ht="15.75" customHeight="1" x14ac:dyDescent="0.25"/>
    <row r="347" spans="1:10" ht="15.75" customHeight="1" x14ac:dyDescent="0.25"/>
    <row r="348" spans="1:10" ht="15.75" customHeight="1" x14ac:dyDescent="0.25"/>
    <row r="349" spans="1:10" ht="15.75" customHeight="1" x14ac:dyDescent="0.25"/>
    <row r="350" spans="1:10" ht="15.75" customHeight="1" x14ac:dyDescent="0.25"/>
    <row r="351" spans="1:10" ht="15.75" customHeight="1" x14ac:dyDescent="0.25"/>
    <row r="352" spans="1:10" ht="15.75" customHeight="1" x14ac:dyDescent="0.25"/>
    <row r="353" spans="1:10" ht="15.75" customHeight="1" x14ac:dyDescent="0.25"/>
    <row r="354" spans="1:10" ht="15.75" customHeight="1" x14ac:dyDescent="0.25"/>
    <row r="355" spans="1:10" ht="15.75" customHeight="1" x14ac:dyDescent="0.25"/>
    <row r="356" spans="1:10" ht="15.75" customHeight="1" x14ac:dyDescent="0.25"/>
    <row r="357" spans="1:10" ht="15.75" customHeight="1" x14ac:dyDescent="0.25"/>
    <row r="358" spans="1:10" ht="15.75" customHeight="1" x14ac:dyDescent="0.25"/>
    <row r="359" spans="1:10" ht="15.75" customHeight="1" x14ac:dyDescent="0.25"/>
    <row r="360" spans="1:10" ht="15.75" customHeight="1" x14ac:dyDescent="0.25"/>
    <row r="361" spans="1:10" ht="15.75" customHeight="1" x14ac:dyDescent="0.25"/>
    <row r="362" spans="1:10" ht="15.75" customHeight="1" x14ac:dyDescent="0.25"/>
    <row r="363" spans="1:10" ht="15.75" customHeight="1" x14ac:dyDescent="0.25"/>
    <row r="364" spans="1:10" ht="15.75" customHeight="1" x14ac:dyDescent="0.25"/>
    <row r="365" spans="1:10" ht="15.75" customHeight="1" x14ac:dyDescent="0.25"/>
    <row r="366" spans="1:10" ht="15.75" customHeight="1" x14ac:dyDescent="0.25"/>
    <row r="367" spans="1:10" ht="15.75" customHeight="1" x14ac:dyDescent="0.25"/>
    <row r="368" spans="1:10" ht="15.75" customHeight="1" x14ac:dyDescent="0.25"/>
    <row r="369" spans="1:10" ht="15.75" customHeight="1" x14ac:dyDescent="0.25"/>
    <row r="370" spans="1:10" ht="15.75" customHeight="1" x14ac:dyDescent="0.25"/>
    <row r="371" spans="1:10" ht="15.75" customHeight="1" x14ac:dyDescent="0.25"/>
    <row r="372" spans="1:10" ht="15.75" customHeight="1" x14ac:dyDescent="0.25"/>
    <row r="373" spans="1:10" ht="15.75" customHeight="1" x14ac:dyDescent="0.25"/>
    <row r="374" spans="1:10" ht="15.75" customHeight="1" x14ac:dyDescent="0.25"/>
    <row r="375" spans="1:10" ht="15.75" customHeight="1" x14ac:dyDescent="0.25"/>
    <row r="376" spans="1:10" ht="15.75" customHeight="1" x14ac:dyDescent="0.25"/>
    <row r="377" spans="1:10" ht="15.75" customHeight="1" x14ac:dyDescent="0.25"/>
    <row r="378" spans="1:10" ht="15.75" customHeight="1" x14ac:dyDescent="0.25"/>
    <row r="379" spans="1:10" ht="15.75" customHeight="1" x14ac:dyDescent="0.25"/>
    <row r="380" spans="1:10" ht="15.75" customHeight="1" x14ac:dyDescent="0.25"/>
    <row r="381" spans="1:10" ht="15.75" customHeight="1" x14ac:dyDescent="0.25"/>
    <row r="382" spans="1:10" ht="15.75" customHeight="1" x14ac:dyDescent="0.25"/>
    <row r="383" spans="1:10" ht="15.75" customHeight="1" x14ac:dyDescent="0.25"/>
    <row r="384" spans="1:10" ht="15.75" customHeight="1" x14ac:dyDescent="0.25"/>
    <row r="385" spans="1:10" ht="15.75" customHeight="1" x14ac:dyDescent="0.25"/>
    <row r="386" spans="1:10" ht="15.75" customHeight="1" x14ac:dyDescent="0.25"/>
    <row r="387" spans="1:10" ht="15.75" customHeight="1" x14ac:dyDescent="0.25"/>
    <row r="388" spans="1:10" ht="15.75" customHeight="1" x14ac:dyDescent="0.25"/>
    <row r="389" spans="1:10" ht="15.75" customHeight="1" x14ac:dyDescent="0.25"/>
    <row r="390" spans="1:10" ht="15.75" customHeight="1" x14ac:dyDescent="0.25"/>
    <row r="391" spans="1:10" ht="15.75" customHeight="1" x14ac:dyDescent="0.25"/>
    <row r="392" spans="1:10" ht="15.75" customHeight="1" x14ac:dyDescent="0.25"/>
    <row r="393" spans="1:10" ht="15.75" customHeight="1" x14ac:dyDescent="0.25"/>
    <row r="394" spans="1:10" ht="15.75" customHeight="1" x14ac:dyDescent="0.25"/>
    <row r="395" spans="1:10" ht="15.75" customHeight="1" x14ac:dyDescent="0.25"/>
    <row r="396" spans="1:10" ht="15.75" customHeight="1" x14ac:dyDescent="0.25"/>
    <row r="397" spans="1:10" ht="15.75" customHeight="1" x14ac:dyDescent="0.25"/>
    <row r="398" spans="1:10" ht="15.75" customHeight="1" x14ac:dyDescent="0.25"/>
    <row r="399" spans="1:10" ht="15.75" customHeight="1" x14ac:dyDescent="0.25"/>
    <row r="400" spans="1:10" ht="15.75" customHeight="1" x14ac:dyDescent="0.25"/>
    <row r="401" spans="1:10" ht="15.75" customHeight="1" x14ac:dyDescent="0.25"/>
    <row r="402" spans="1:10" ht="15.75" customHeight="1" x14ac:dyDescent="0.25"/>
    <row r="403" spans="1:10" ht="15.75" customHeight="1" x14ac:dyDescent="0.25"/>
    <row r="404" spans="1:10" ht="15.75" customHeight="1" x14ac:dyDescent="0.25"/>
    <row r="405" spans="1:10" ht="15.75" customHeight="1" x14ac:dyDescent="0.25"/>
    <row r="406" spans="1:10" ht="15.75" customHeight="1" x14ac:dyDescent="0.25"/>
    <row r="407" spans="1:10" ht="15.75" customHeight="1" x14ac:dyDescent="0.25"/>
    <row r="408" spans="1:10" ht="15.75" customHeight="1" x14ac:dyDescent="0.25"/>
    <row r="409" spans="1:10" ht="15.75" customHeight="1" x14ac:dyDescent="0.25"/>
    <row r="410" spans="1:10" ht="15.75" customHeight="1" x14ac:dyDescent="0.25"/>
    <row r="411" spans="1:10" ht="15.75" customHeight="1" x14ac:dyDescent="0.25"/>
    <row r="412" spans="1:10" ht="15.75" customHeight="1" x14ac:dyDescent="0.25"/>
    <row r="413" spans="1:10" ht="15.75" customHeight="1" x14ac:dyDescent="0.25"/>
    <row r="414" spans="1:10" ht="15.75" customHeight="1" x14ac:dyDescent="0.25"/>
    <row r="415" spans="1:10" ht="15.75" customHeight="1" x14ac:dyDescent="0.25"/>
    <row r="416" spans="1:10" ht="15.75" customHeight="1" x14ac:dyDescent="0.25"/>
    <row r="417" spans="1:10" ht="15.75" customHeight="1" x14ac:dyDescent="0.25"/>
    <row r="418" spans="1:10" ht="15.75" customHeight="1" x14ac:dyDescent="0.25"/>
    <row r="419" spans="1:10" ht="15.75" customHeight="1" x14ac:dyDescent="0.25"/>
    <row r="420" spans="1:10" ht="15.75" customHeight="1" x14ac:dyDescent="0.25"/>
    <row r="421" spans="1:10" ht="15.75" customHeight="1" x14ac:dyDescent="0.25"/>
    <row r="422" spans="1:10" ht="15.75" customHeight="1" x14ac:dyDescent="0.25"/>
    <row r="423" spans="1:10" ht="15.75" customHeight="1" x14ac:dyDescent="0.25"/>
    <row r="424" spans="1:10" ht="15.75" customHeight="1" x14ac:dyDescent="0.25"/>
    <row r="425" spans="1:10" ht="15.75" customHeight="1" x14ac:dyDescent="0.25"/>
    <row r="426" spans="1:10" ht="15.75" customHeight="1" x14ac:dyDescent="0.25"/>
    <row r="427" spans="1:10" ht="15.75" customHeight="1" x14ac:dyDescent="0.25"/>
    <row r="428" spans="1:10" ht="15.75" customHeight="1" x14ac:dyDescent="0.25"/>
    <row r="429" spans="1:10" ht="15.75" customHeight="1" x14ac:dyDescent="0.25"/>
    <row r="430" spans="1:10" ht="15.75" customHeight="1" x14ac:dyDescent="0.25"/>
    <row r="431" spans="1:10" ht="15.75" customHeight="1" x14ac:dyDescent="0.25"/>
    <row r="432" spans="1:10" ht="15.75" customHeight="1" x14ac:dyDescent="0.25"/>
    <row r="433" spans="1:10" ht="15.75" customHeight="1" x14ac:dyDescent="0.25"/>
    <row r="434" spans="1:10" ht="15.75" customHeight="1" x14ac:dyDescent="0.25"/>
    <row r="435" spans="1:10" ht="15.75" customHeight="1" x14ac:dyDescent="0.25"/>
    <row r="436" spans="1:10" ht="15.75" customHeight="1" x14ac:dyDescent="0.25"/>
    <row r="437" spans="1:10" ht="15.75" customHeight="1" x14ac:dyDescent="0.25"/>
    <row r="438" spans="1:10" ht="15.75" customHeight="1" x14ac:dyDescent="0.25"/>
    <row r="439" spans="1:10" ht="15.75" customHeight="1" x14ac:dyDescent="0.25"/>
    <row r="440" spans="1:10" ht="15.75" customHeight="1" x14ac:dyDescent="0.25"/>
    <row r="441" spans="1:10" ht="15.75" customHeight="1" x14ac:dyDescent="0.25"/>
    <row r="442" spans="1:10" ht="15.75" customHeight="1" x14ac:dyDescent="0.25"/>
    <row r="443" spans="1:10" ht="15.75" customHeight="1" x14ac:dyDescent="0.25"/>
    <row r="444" spans="1:10" ht="15.75" customHeight="1" x14ac:dyDescent="0.25"/>
    <row r="445" spans="1:10" ht="15.75" customHeight="1" x14ac:dyDescent="0.25"/>
    <row r="446" spans="1:10" ht="15.75" customHeight="1" x14ac:dyDescent="0.25"/>
    <row r="447" spans="1:10" ht="15.75" customHeight="1" x14ac:dyDescent="0.25"/>
    <row r="448" spans="1:10" ht="15.75" customHeight="1" x14ac:dyDescent="0.25"/>
    <row r="449" spans="1:10" ht="15.75" customHeight="1" x14ac:dyDescent="0.25"/>
    <row r="450" spans="1:10" ht="15.75" customHeight="1" x14ac:dyDescent="0.25"/>
    <row r="451" spans="1:10" ht="15.75" customHeight="1" x14ac:dyDescent="0.25"/>
    <row r="452" spans="1:10" ht="15.75" customHeight="1" x14ac:dyDescent="0.25"/>
    <row r="453" spans="1:10" ht="15.75" customHeight="1" x14ac:dyDescent="0.25"/>
    <row r="454" spans="1:10" ht="15.75" customHeight="1" x14ac:dyDescent="0.25"/>
    <row r="455" spans="1:10" ht="15.75" customHeight="1" x14ac:dyDescent="0.25"/>
    <row r="456" spans="1:10" ht="15.75" customHeight="1" x14ac:dyDescent="0.25"/>
    <row r="457" spans="1:10" ht="15.75" customHeight="1" x14ac:dyDescent="0.25"/>
    <row r="458" spans="1:10" ht="15.75" customHeight="1" x14ac:dyDescent="0.25"/>
    <row r="459" spans="1:10" ht="15.75" customHeight="1" x14ac:dyDescent="0.25"/>
    <row r="460" spans="1:10" ht="15.75" customHeight="1" x14ac:dyDescent="0.25"/>
    <row r="461" spans="1:10" ht="15.75" customHeight="1" x14ac:dyDescent="0.25"/>
    <row r="462" spans="1:10" ht="15.75" customHeight="1" x14ac:dyDescent="0.25"/>
    <row r="463" spans="1:10" ht="15.75" customHeight="1" x14ac:dyDescent="0.25"/>
    <row r="464" spans="1:10" ht="15.75" customHeight="1" x14ac:dyDescent="0.25"/>
    <row r="465" spans="1:10" ht="15.75" customHeight="1" x14ac:dyDescent="0.25"/>
    <row r="466" spans="1:10" ht="15.75" customHeight="1" x14ac:dyDescent="0.25"/>
    <row r="467" spans="1:10" ht="15.75" customHeight="1" x14ac:dyDescent="0.25"/>
    <row r="468" spans="1:10" ht="15.75" customHeight="1" x14ac:dyDescent="0.25"/>
    <row r="469" spans="1:10" ht="15.75" customHeight="1" x14ac:dyDescent="0.25"/>
    <row r="470" spans="1:10" ht="15.75" customHeight="1" x14ac:dyDescent="0.25"/>
    <row r="471" spans="1:10" ht="15.75" customHeight="1" x14ac:dyDescent="0.25"/>
    <row r="472" spans="1:10" ht="15.75" customHeight="1" x14ac:dyDescent="0.25"/>
    <row r="473" spans="1:10" ht="15.75" customHeight="1" x14ac:dyDescent="0.25"/>
    <row r="474" spans="1:10" ht="15.75" customHeight="1" x14ac:dyDescent="0.25"/>
    <row r="475" spans="1:10" ht="15.75" customHeight="1" x14ac:dyDescent="0.25"/>
    <row r="476" spans="1:10" ht="15.75" customHeight="1" x14ac:dyDescent="0.25"/>
    <row r="477" spans="1:10" ht="15.75" customHeight="1" x14ac:dyDescent="0.25"/>
    <row r="478" spans="1:10" ht="15.75" customHeight="1" x14ac:dyDescent="0.25"/>
    <row r="479" spans="1:10" ht="15.75" customHeight="1" x14ac:dyDescent="0.25"/>
    <row r="480" spans="1:10" ht="15.75" customHeight="1" x14ac:dyDescent="0.25"/>
    <row r="481" spans="1:10" ht="15.75" customHeight="1" x14ac:dyDescent="0.25"/>
    <row r="482" spans="1:10" ht="15.75" customHeight="1" x14ac:dyDescent="0.25"/>
    <row r="483" spans="1:10" ht="15.75" customHeight="1" x14ac:dyDescent="0.25"/>
    <row r="484" spans="1:10" ht="15.75" customHeight="1" x14ac:dyDescent="0.25"/>
    <row r="485" spans="1:10" ht="15.75" customHeight="1" x14ac:dyDescent="0.25"/>
    <row r="486" spans="1:10" ht="15.75" customHeight="1" x14ac:dyDescent="0.25"/>
    <row r="487" spans="1:10" ht="15.75" customHeight="1" x14ac:dyDescent="0.25"/>
    <row r="488" spans="1:10" ht="15.75" customHeight="1" x14ac:dyDescent="0.25"/>
    <row r="489" spans="1:10" ht="15.75" customHeight="1" x14ac:dyDescent="0.25"/>
    <row r="490" spans="1:10" ht="15.75" customHeight="1" x14ac:dyDescent="0.25"/>
    <row r="491" spans="1:10" ht="15.75" customHeight="1" x14ac:dyDescent="0.25"/>
    <row r="492" spans="1:10" ht="15.75" customHeight="1" x14ac:dyDescent="0.25"/>
    <row r="493" spans="1:10" ht="15.75" customHeight="1" x14ac:dyDescent="0.25"/>
    <row r="494" spans="1:10" ht="15.75" customHeight="1" x14ac:dyDescent="0.25"/>
    <row r="495" spans="1:10" ht="15.75" customHeight="1" x14ac:dyDescent="0.25"/>
    <row r="496" spans="1:10" ht="15.75" customHeight="1" x14ac:dyDescent="0.25"/>
    <row r="497" spans="1:10" ht="15.75" customHeight="1" x14ac:dyDescent="0.25"/>
    <row r="498" spans="1:10" ht="15.75" customHeight="1" x14ac:dyDescent="0.25"/>
    <row r="499" spans="1:10" ht="15.75" customHeight="1" x14ac:dyDescent="0.25"/>
    <row r="500" spans="1:10" ht="15.75" customHeight="1" x14ac:dyDescent="0.25"/>
    <row r="501" spans="1:10" ht="15.75" customHeight="1" x14ac:dyDescent="0.25"/>
    <row r="502" spans="1:10" ht="15.75" customHeight="1" x14ac:dyDescent="0.25"/>
    <row r="503" spans="1:10" ht="15.75" customHeight="1" x14ac:dyDescent="0.25"/>
    <row r="504" spans="1:10" ht="15.75" customHeight="1" x14ac:dyDescent="0.25"/>
    <row r="505" spans="1:10" ht="15.75" customHeight="1" x14ac:dyDescent="0.25"/>
    <row r="506" spans="1:10" ht="15.75" customHeight="1" x14ac:dyDescent="0.25"/>
    <row r="507" spans="1:10" ht="15.75" customHeight="1" x14ac:dyDescent="0.25"/>
    <row r="508" spans="1:10" ht="15.75" customHeight="1" x14ac:dyDescent="0.25"/>
    <row r="509" spans="1:10" ht="15.75" customHeight="1" x14ac:dyDescent="0.25"/>
    <row r="510" spans="1:10" ht="15.75" customHeight="1" x14ac:dyDescent="0.25"/>
    <row r="511" spans="1:10" ht="15.75" customHeight="1" x14ac:dyDescent="0.25"/>
    <row r="512" spans="1:10" ht="15.75" customHeight="1" x14ac:dyDescent="0.25"/>
    <row r="513" spans="1:10" ht="15.75" customHeight="1" x14ac:dyDescent="0.25"/>
    <row r="514" spans="1:10" ht="15.75" customHeight="1" x14ac:dyDescent="0.25"/>
    <row r="515" spans="1:10" ht="15.75" customHeight="1" x14ac:dyDescent="0.25"/>
    <row r="516" spans="1:10" ht="15.75" customHeight="1" x14ac:dyDescent="0.25"/>
    <row r="517" spans="1:10" ht="15.75" customHeight="1" x14ac:dyDescent="0.25"/>
    <row r="518" spans="1:10" ht="15.75" customHeight="1" x14ac:dyDescent="0.25"/>
    <row r="519" spans="1:10" ht="15.75" customHeight="1" x14ac:dyDescent="0.25"/>
    <row r="520" spans="1:10" ht="15.75" customHeight="1" x14ac:dyDescent="0.25"/>
    <row r="521" spans="1:10" ht="15.75" customHeight="1" x14ac:dyDescent="0.25"/>
    <row r="522" spans="1:10" ht="15.75" customHeight="1" x14ac:dyDescent="0.25"/>
    <row r="523" spans="1:10" ht="15.75" customHeight="1" x14ac:dyDescent="0.25"/>
    <row r="524" spans="1:10" ht="15.75" customHeight="1" x14ac:dyDescent="0.25"/>
    <row r="525" spans="1:10" ht="15.75" customHeight="1" x14ac:dyDescent="0.25"/>
    <row r="526" spans="1:10" ht="15.75" customHeight="1" x14ac:dyDescent="0.25"/>
    <row r="527" spans="1:10" ht="15.75" customHeight="1" x14ac:dyDescent="0.25"/>
    <row r="528" spans="1:10" ht="15.75" customHeight="1" x14ac:dyDescent="0.25"/>
    <row r="529" spans="1:10" ht="15.75" customHeight="1" x14ac:dyDescent="0.25"/>
    <row r="530" spans="1:10" ht="15.75" customHeight="1" x14ac:dyDescent="0.25"/>
    <row r="531" spans="1:10" ht="15.75" customHeight="1" x14ac:dyDescent="0.25"/>
    <row r="532" spans="1:10" ht="15.75" customHeight="1" x14ac:dyDescent="0.25"/>
    <row r="533" spans="1:10" ht="15.75" customHeight="1" x14ac:dyDescent="0.25"/>
    <row r="534" spans="1:10" ht="15.75" customHeight="1" x14ac:dyDescent="0.25"/>
    <row r="535" spans="1:10" ht="15.75" customHeight="1" x14ac:dyDescent="0.25"/>
    <row r="536" spans="1:10" ht="15.75" customHeight="1" x14ac:dyDescent="0.25"/>
    <row r="537" spans="1:10" ht="15.75" customHeight="1" x14ac:dyDescent="0.25"/>
    <row r="538" spans="1:10" ht="15.75" customHeight="1" x14ac:dyDescent="0.25"/>
    <row r="539" spans="1:10" ht="15.75" customHeight="1" x14ac:dyDescent="0.25"/>
    <row r="540" spans="1:10" ht="15.75" customHeight="1" x14ac:dyDescent="0.25"/>
    <row r="541" spans="1:10" ht="15.75" customHeight="1" x14ac:dyDescent="0.25"/>
    <row r="542" spans="1:10" ht="15.75" customHeight="1" x14ac:dyDescent="0.25"/>
    <row r="543" spans="1:10" ht="15.75" customHeight="1" x14ac:dyDescent="0.25"/>
    <row r="544" spans="1:10" ht="15.75" customHeight="1" x14ac:dyDescent="0.25"/>
    <row r="545" spans="1:10" ht="15.75" customHeight="1" x14ac:dyDescent="0.25"/>
    <row r="546" spans="1:10" ht="15.75" customHeight="1" x14ac:dyDescent="0.25"/>
    <row r="547" spans="1:10" ht="15.75" customHeight="1" x14ac:dyDescent="0.25"/>
    <row r="548" spans="1:10" ht="15.75" customHeight="1" x14ac:dyDescent="0.25"/>
    <row r="549" spans="1:10" ht="15.75" customHeight="1" x14ac:dyDescent="0.25"/>
    <row r="550" spans="1:10" ht="15.75" customHeight="1" x14ac:dyDescent="0.25"/>
    <row r="551" spans="1:10" ht="15.75" customHeight="1" x14ac:dyDescent="0.25"/>
    <row r="552" spans="1:10" ht="15.75" customHeight="1" x14ac:dyDescent="0.25"/>
    <row r="553" spans="1:10" ht="15.75" customHeight="1" x14ac:dyDescent="0.25"/>
    <row r="554" spans="1:10" ht="15.75" customHeight="1" x14ac:dyDescent="0.25"/>
    <row r="555" spans="1:10" ht="15.75" customHeight="1" x14ac:dyDescent="0.25"/>
    <row r="556" spans="1:10" ht="15.75" customHeight="1" x14ac:dyDescent="0.25"/>
    <row r="557" spans="1:10" ht="15.75" customHeight="1" x14ac:dyDescent="0.25"/>
    <row r="558" spans="1:10" ht="15.75" customHeight="1" x14ac:dyDescent="0.25"/>
    <row r="559" spans="1:10" ht="15.75" customHeight="1" x14ac:dyDescent="0.25"/>
    <row r="560" spans="1:10" ht="15.75" customHeight="1" x14ac:dyDescent="0.25"/>
    <row r="561" spans="1:10" ht="15.75" customHeight="1" x14ac:dyDescent="0.25"/>
    <row r="562" spans="1:10" ht="15.75" customHeight="1" x14ac:dyDescent="0.25"/>
    <row r="563" spans="1:10" ht="15.75" customHeight="1" x14ac:dyDescent="0.25"/>
    <row r="564" spans="1:10" ht="15.75" customHeight="1" x14ac:dyDescent="0.25"/>
    <row r="565" spans="1:10" ht="15.75" customHeight="1" x14ac:dyDescent="0.25"/>
    <row r="566" spans="1:10" ht="15.75" customHeight="1" x14ac:dyDescent="0.25"/>
    <row r="567" spans="1:10" ht="15.75" customHeight="1" x14ac:dyDescent="0.25"/>
    <row r="568" spans="1:10" ht="15.75" customHeight="1" x14ac:dyDescent="0.25"/>
    <row r="569" spans="1:10" ht="15.75" customHeight="1" x14ac:dyDescent="0.25"/>
    <row r="570" spans="1:10" ht="15.75" customHeight="1" x14ac:dyDescent="0.25"/>
    <row r="571" spans="1:10" ht="15.75" customHeight="1" x14ac:dyDescent="0.25"/>
    <row r="572" spans="1:10" ht="15.75" customHeight="1" x14ac:dyDescent="0.25"/>
    <row r="573" spans="1:10" ht="15.75" customHeight="1" x14ac:dyDescent="0.25"/>
    <row r="574" spans="1:10" ht="15.75" customHeight="1" x14ac:dyDescent="0.25"/>
    <row r="575" spans="1:10" ht="15.75" customHeight="1" x14ac:dyDescent="0.25"/>
    <row r="576" spans="1:10" ht="15.75" customHeight="1" x14ac:dyDescent="0.25"/>
    <row r="577" spans="1:10" ht="15.75" customHeight="1" x14ac:dyDescent="0.25"/>
    <row r="578" spans="1:10" ht="15.75" customHeight="1" x14ac:dyDescent="0.25"/>
    <row r="579" spans="1:10" ht="15.75" customHeight="1" x14ac:dyDescent="0.25"/>
    <row r="580" spans="1:10" ht="15.75" customHeight="1" x14ac:dyDescent="0.25"/>
    <row r="581" spans="1:10" ht="15.75" customHeight="1" x14ac:dyDescent="0.25"/>
    <row r="582" spans="1:10" ht="15.75" customHeight="1" x14ac:dyDescent="0.25"/>
    <row r="583" spans="1:10" ht="15.75" customHeight="1" x14ac:dyDescent="0.25"/>
    <row r="584" spans="1:10" ht="15.75" customHeight="1" x14ac:dyDescent="0.25"/>
    <row r="585" spans="1:10" ht="15.75" customHeight="1" x14ac:dyDescent="0.25"/>
    <row r="586" spans="1:10" ht="15.75" customHeight="1" x14ac:dyDescent="0.25"/>
    <row r="587" spans="1:10" ht="15.75" customHeight="1" x14ac:dyDescent="0.25"/>
    <row r="588" spans="1:10" ht="15.75" customHeight="1" x14ac:dyDescent="0.25"/>
    <row r="589" spans="1:10" ht="15.75" customHeight="1" x14ac:dyDescent="0.25"/>
    <row r="590" spans="1:10" ht="15.75" customHeight="1" x14ac:dyDescent="0.25"/>
    <row r="591" spans="1:10" ht="15.75" customHeight="1" x14ac:dyDescent="0.25"/>
    <row r="592" spans="1:10" ht="15.75" customHeight="1" x14ac:dyDescent="0.25"/>
    <row r="593" spans="1:10" ht="15.75" customHeight="1" x14ac:dyDescent="0.25"/>
    <row r="594" spans="1:10" ht="15.75" customHeight="1" x14ac:dyDescent="0.25"/>
    <row r="595" spans="1:10" ht="15.75" customHeight="1" x14ac:dyDescent="0.25"/>
    <row r="596" spans="1:10" ht="15.75" customHeight="1" x14ac:dyDescent="0.25"/>
    <row r="597" spans="1:10" ht="15.75" customHeight="1" x14ac:dyDescent="0.25"/>
    <row r="598" spans="1:10" ht="15.75" customHeight="1" x14ac:dyDescent="0.25"/>
    <row r="599" spans="1:10" ht="15.75" customHeight="1" x14ac:dyDescent="0.25"/>
    <row r="600" spans="1:10" ht="15.75" customHeight="1" x14ac:dyDescent="0.25"/>
    <row r="601" spans="1:10" ht="15.75" customHeight="1" x14ac:dyDescent="0.25"/>
    <row r="602" spans="1:10" ht="15.75" customHeight="1" x14ac:dyDescent="0.25"/>
    <row r="603" spans="1:10" ht="15.75" customHeight="1" x14ac:dyDescent="0.25"/>
    <row r="604" spans="1:10" ht="15.75" customHeight="1" x14ac:dyDescent="0.25"/>
    <row r="605" spans="1:10" ht="15.75" customHeight="1" x14ac:dyDescent="0.25"/>
    <row r="606" spans="1:10" ht="15.75" customHeight="1" x14ac:dyDescent="0.25"/>
    <row r="607" spans="1:10" ht="15.75" customHeight="1" x14ac:dyDescent="0.25"/>
    <row r="608" spans="1:10" ht="15.75" customHeight="1" x14ac:dyDescent="0.25"/>
    <row r="609" spans="1:10" ht="15.75" customHeight="1" x14ac:dyDescent="0.25"/>
    <row r="610" spans="1:10" ht="15.75" customHeight="1" x14ac:dyDescent="0.25"/>
    <row r="611" spans="1:10" ht="15.75" customHeight="1" x14ac:dyDescent="0.25"/>
    <row r="612" spans="1:10" ht="15.75" customHeight="1" x14ac:dyDescent="0.25"/>
    <row r="613" spans="1:10" ht="15.75" customHeight="1" x14ac:dyDescent="0.25"/>
    <row r="614" spans="1:10" ht="15.75" customHeight="1" x14ac:dyDescent="0.25"/>
    <row r="615" spans="1:10" ht="15.75" customHeight="1" x14ac:dyDescent="0.25"/>
    <row r="616" spans="1:10" ht="15.75" customHeight="1" x14ac:dyDescent="0.25"/>
    <row r="617" spans="1:10" ht="15.75" customHeight="1" x14ac:dyDescent="0.25"/>
    <row r="618" spans="1:10" ht="15.75" customHeight="1" x14ac:dyDescent="0.25"/>
    <row r="619" spans="1:10" ht="15.75" customHeight="1" x14ac:dyDescent="0.25"/>
    <row r="620" spans="1:10" ht="15.75" customHeight="1" x14ac:dyDescent="0.25"/>
    <row r="621" spans="1:10" ht="15.75" customHeight="1" x14ac:dyDescent="0.25"/>
    <row r="622" spans="1:10" ht="15.75" customHeight="1" x14ac:dyDescent="0.25"/>
    <row r="623" spans="1:10" ht="15.75" customHeight="1" x14ac:dyDescent="0.25"/>
    <row r="624" spans="1:10" ht="15.75" customHeight="1" x14ac:dyDescent="0.25"/>
    <row r="625" spans="1:10" ht="15.75" customHeight="1" x14ac:dyDescent="0.25"/>
    <row r="626" spans="1:10" ht="15.75" customHeight="1" x14ac:dyDescent="0.25"/>
    <row r="627" spans="1:10" ht="15.75" customHeight="1" x14ac:dyDescent="0.25"/>
    <row r="628" spans="1:10" ht="15.75" customHeight="1" x14ac:dyDescent="0.25"/>
    <row r="629" spans="1:10" ht="15.75" customHeight="1" x14ac:dyDescent="0.25"/>
    <row r="630" spans="1:10" ht="15.75" customHeight="1" x14ac:dyDescent="0.25"/>
    <row r="631" spans="1:10" ht="15.75" customHeight="1" x14ac:dyDescent="0.25"/>
    <row r="632" spans="1:10" ht="15.75" customHeight="1" x14ac:dyDescent="0.25"/>
    <row r="633" spans="1:10" ht="15.75" customHeight="1" x14ac:dyDescent="0.25"/>
    <row r="634" spans="1:10" ht="15.75" customHeight="1" x14ac:dyDescent="0.25"/>
    <row r="635" spans="1:10" ht="15.75" customHeight="1" x14ac:dyDescent="0.25"/>
    <row r="636" spans="1:10" ht="15.75" customHeight="1" x14ac:dyDescent="0.25"/>
    <row r="637" spans="1:10" ht="15.75" customHeight="1" x14ac:dyDescent="0.25"/>
    <row r="638" spans="1:10" ht="15.75" customHeight="1" x14ac:dyDescent="0.25"/>
    <row r="639" spans="1:10" ht="15.75" customHeight="1" x14ac:dyDescent="0.25"/>
    <row r="640" spans="1:10" ht="15.75" customHeight="1" x14ac:dyDescent="0.25"/>
    <row r="641" spans="1:10" ht="15.75" customHeight="1" x14ac:dyDescent="0.25"/>
    <row r="642" spans="1:10" ht="15.75" customHeight="1" x14ac:dyDescent="0.25"/>
    <row r="643" spans="1:10" ht="15.75" customHeight="1" x14ac:dyDescent="0.25"/>
    <row r="644" spans="1:10" ht="15.75" customHeight="1" x14ac:dyDescent="0.25"/>
    <row r="645" spans="1:10" ht="15.75" customHeight="1" x14ac:dyDescent="0.25"/>
    <row r="646" spans="1:10" ht="15.75" customHeight="1" x14ac:dyDescent="0.25"/>
    <row r="647" spans="1:10" ht="15.75" customHeight="1" x14ac:dyDescent="0.25"/>
    <row r="648" spans="1:10" ht="15.75" customHeight="1" x14ac:dyDescent="0.25"/>
    <row r="649" spans="1:10" ht="15.75" customHeight="1" x14ac:dyDescent="0.25"/>
    <row r="650" spans="1:10" ht="15.75" customHeight="1" x14ac:dyDescent="0.25"/>
    <row r="651" spans="1:10" ht="15.75" customHeight="1" x14ac:dyDescent="0.25"/>
    <row r="652" spans="1:10" ht="15.75" customHeight="1" x14ac:dyDescent="0.25"/>
    <row r="653" spans="1:10" ht="15.75" customHeight="1" x14ac:dyDescent="0.25"/>
    <row r="654" spans="1:10" ht="15.75" customHeight="1" x14ac:dyDescent="0.25"/>
  </sheetData>
  <sheetProtection sheet="1" formatCells="0" formatColumns="0" formatRows="0" sort="0" autoFilter="0"/>
  <pageMargins left="0.75" right="0.75" top="1" bottom="1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  <pageSetUpPr fitToPage="1"/>
  </sheetPr>
  <dimension ref="A1:Q46"/>
  <sheetViews>
    <sheetView zoomScale="90" zoomScaleNormal="9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3" width="26" customWidth="1"/>
    <col min="16" max="16" width="44" customWidth="1"/>
    <col min="17" max="17" width="12" customWidth="1"/>
  </cols>
  <sheetData>
    <row r="1" spans="1:17" ht="31.5" customHeight="1" x14ac:dyDescent="0.25"/>
    <row r="2" spans="1:17" ht="15" customHeight="1" x14ac:dyDescent="0.25"/>
    <row r="3" spans="1:17" ht="15" customHeight="1" x14ac:dyDescent="0.25"/>
    <row r="4" spans="1:17" ht="15" customHeight="1" x14ac:dyDescent="0.25"/>
    <row r="5" spans="1:17" ht="15" customHeight="1" x14ac:dyDescent="0.25"/>
    <row r="6" spans="1:17" ht="15" customHeight="1" x14ac:dyDescent="0.25"/>
    <row r="7" spans="1:17" ht="15" customHeight="1" x14ac:dyDescent="0.25"/>
    <row r="8" spans="1:17" ht="15" customHeight="1" x14ac:dyDescent="0.25"/>
    <row r="9" spans="1:17" ht="15" customHeight="1" x14ac:dyDescent="0.25"/>
    <row r="10" spans="1:17" ht="15" customHeight="1" x14ac:dyDescent="0.25"/>
    <row r="11" spans="1:17" ht="15" customHeight="1" x14ac:dyDescent="0.25"/>
    <row r="12" spans="1:17" ht="15" customHeight="1" x14ac:dyDescent="0.25"/>
    <row r="13" spans="1:17" ht="15" customHeight="1" x14ac:dyDescent="0.25"/>
    <row r="14" spans="1:17" ht="15" customHeight="1" x14ac:dyDescent="0.25"/>
    <row r="15" spans="1:17" ht="15" customHeight="1" x14ac:dyDescent="0.25"/>
    <row r="16" spans="1:17" ht="15" customHeight="1" x14ac:dyDescent="0.25"/>
    <row r="17" spans="1:3" ht="15" customHeight="1" x14ac:dyDescent="0.25"/>
    <row r="18" spans="1:3" ht="15" customHeight="1" x14ac:dyDescent="0.25"/>
    <row r="19" spans="1:3" ht="15" customHeight="1" x14ac:dyDescent="0.25"/>
    <row r="20" spans="1:3" ht="15" customHeight="1" x14ac:dyDescent="0.25"/>
    <row r="21" spans="1:3" ht="15" customHeight="1" x14ac:dyDescent="0.25"/>
    <row r="22" spans="1:3" ht="15" customHeight="1" x14ac:dyDescent="0.25"/>
    <row r="23" spans="1:3" ht="15" customHeight="1" x14ac:dyDescent="0.25"/>
    <row r="24" spans="1:3" ht="15" customHeight="1" x14ac:dyDescent="0.25"/>
    <row r="25" spans="1:3" ht="15" customHeight="1" x14ac:dyDescent="0.25"/>
    <row r="26" spans="1:3" ht="15" customHeight="1" x14ac:dyDescent="0.25"/>
    <row r="27" spans="1:3" ht="15" customHeight="1" x14ac:dyDescent="0.25"/>
    <row r="28" spans="1:3" ht="15" customHeight="1" x14ac:dyDescent="0.25"/>
    <row r="29" spans="1:3" ht="15" customHeight="1" x14ac:dyDescent="0.25"/>
    <row r="30" spans="1:3" ht="15" customHeight="1" x14ac:dyDescent="0.25"/>
    <row r="31" spans="1:3" ht="15" customHeight="1" x14ac:dyDescent="0.25"/>
    <row r="32" spans="1:3" ht="15" customHeight="1" x14ac:dyDescent="0.25"/>
    <row r="33" spans="2:3" ht="15" customHeight="1" x14ac:dyDescent="0.25"/>
    <row r="34" spans="2:3" ht="15" customHeight="1" x14ac:dyDescent="0.25"/>
    <row r="35" spans="2:3" ht="15" customHeight="1" x14ac:dyDescent="0.25"/>
    <row r="36" spans="2:3" ht="15" customHeight="1" x14ac:dyDescent="0.25"/>
    <row r="37" spans="2:3" ht="15" customHeight="1" x14ac:dyDescent="0.25"/>
    <row r="38" spans="2:3" ht="15" customHeight="1" x14ac:dyDescent="0.25"/>
    <row r="39" spans="2:3" ht="15" customHeight="1" x14ac:dyDescent="0.25"/>
    <row r="40" spans="2:3" ht="15" customHeight="1" x14ac:dyDescent="0.25"/>
    <row r="41" spans="2:3" ht="15" customHeight="1" x14ac:dyDescent="0.25"/>
    <row r="42" spans="2:3" ht="15" customHeight="1" x14ac:dyDescent="0.25"/>
    <row r="43" spans="2:3" ht="15" customHeight="1" x14ac:dyDescent="0.25"/>
    <row r="44" spans="2:3" ht="15" customHeight="1" x14ac:dyDescent="0.25"/>
    <row r="45" spans="2:3" ht="15" customHeight="1" x14ac:dyDescent="0.25"/>
    <row r="46" spans="2:3" ht="15" customHeight="1" x14ac:dyDescent="0.25"/>
  </sheetData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9</vt:i4>
      </vt:variant>
    </vt:vector>
  </HeadingPairs>
  <TitlesOfParts>
    <vt:vector size="18" baseType="lpstr">
      <vt:lpstr>Accueil</vt:lpstr>
      <vt:lpstr>1-Demandes SAV</vt:lpstr>
      <vt:lpstr>2-Ma tournée</vt:lpstr>
      <vt:lpstr>3-Parc machines</vt:lpstr>
      <vt:lpstr>4-VGP</vt:lpstr>
      <vt:lpstr>5-Observations VGP</vt:lpstr>
      <vt:lpstr>6-Historique</vt:lpstr>
      <vt:lpstr>7-Clients</vt:lpstr>
      <vt:lpstr>8-Param</vt:lpstr>
      <vt:lpstr>'1-Demandes SAV'!Impression_des_titres</vt:lpstr>
      <vt:lpstr>'2-Ma tournée'!Impression_des_titres</vt:lpstr>
      <vt:lpstr>'3-Parc machines'!Impression_des_titres</vt:lpstr>
      <vt:lpstr>'4-VGP'!Impression_des_titres</vt:lpstr>
      <vt:lpstr>'5-Observations VGP'!Impression_des_titres</vt:lpstr>
      <vt:lpstr>'6-Historique'!Impression_des_titres</vt:lpstr>
      <vt:lpstr>'7-Clients'!Impression_des_titres</vt:lpstr>
      <vt:lpstr>'8-Param'!Impression_des_titres</vt:lpstr>
      <vt:lpstr>Accueil!Zone_d_impression</vt:lpstr>
    </vt:vector>
  </TitlesOfParts>
  <LinksUpToDate>false</LinksUpToDate>
  <SharedDoc>false</SharedDoc>
  <HyperlinksChanged>false</HyperlinksChanged>
  <AppVersion>16.0300</AppVersion>
</Properties>
</file>